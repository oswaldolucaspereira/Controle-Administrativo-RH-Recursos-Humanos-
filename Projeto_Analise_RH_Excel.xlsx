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ário\Downloads\"/>
    </mc:Choice>
  </mc:AlternateContent>
  <xr:revisionPtr revIDLastSave="0" documentId="8_{B1E0BFCE-5B86-48E4-9B69-C44E038C1CBA}" xr6:coauthVersionLast="47" xr6:coauthVersionMax="47" xr10:uidLastSave="{00000000-0000-0000-0000-000000000000}"/>
  <bookViews>
    <workbookView xWindow="-120" yWindow="-120" windowWidth="19440" windowHeight="15000" xr2:uid="{46EC7AF4-5753-4FD1-8882-A2A40FFDF52E}"/>
  </bookViews>
  <sheets>
    <sheet name="BASE_DADOS_RH" sheetId="1" r:id="rId1"/>
    <sheet name="ANALISE_RH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T13" i="1" l="1"/>
  <c r="J21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35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O59" i="1"/>
  <c r="N59" i="1"/>
  <c r="O58" i="1"/>
  <c r="N58" i="1"/>
  <c r="I5" i="2"/>
  <c r="E5" i="2"/>
</calcChain>
</file>

<file path=xl/sharedStrings.xml><?xml version="1.0" encoding="utf-8"?>
<sst xmlns="http://schemas.openxmlformats.org/spreadsheetml/2006/main" count="944" uniqueCount="432">
  <si>
    <t>CONTROLE ADMINISTRATIVO DE RH</t>
  </si>
  <si>
    <t>ID</t>
  </si>
  <si>
    <t>NOME COMPLETO</t>
  </si>
  <si>
    <t>CPF</t>
  </si>
  <si>
    <t>DATA DE NASCIMENTO</t>
  </si>
  <si>
    <t>IDADE</t>
  </si>
  <si>
    <t>NACIONALIDADE</t>
  </si>
  <si>
    <t>EMAIL CORPORATIVO</t>
  </si>
  <si>
    <t>EMAIL PESSOAL</t>
  </si>
  <si>
    <t>TELEFONE</t>
  </si>
  <si>
    <t>ENDEREÇO</t>
  </si>
  <si>
    <t>CARGO</t>
  </si>
  <si>
    <t>ÁREA</t>
  </si>
  <si>
    <t>GESTOR</t>
  </si>
  <si>
    <t>TIPO DE CONTRATO</t>
  </si>
  <si>
    <t>REGIME</t>
  </si>
  <si>
    <t>CARGA HORÁRIA</t>
  </si>
  <si>
    <t>SALÁRIO</t>
  </si>
  <si>
    <t>DATA DE ADMISSÃO</t>
  </si>
  <si>
    <t>STATUS</t>
  </si>
  <si>
    <t>Ana Souza</t>
  </si>
  <si>
    <t>Bruno Lima</t>
  </si>
  <si>
    <t>Carla Mendes</t>
  </si>
  <si>
    <t>Daniel Rocha</t>
  </si>
  <si>
    <t>Elisa Martins</t>
  </si>
  <si>
    <t>Felipe Santos</t>
  </si>
  <si>
    <t>Gabriela Costa</t>
  </si>
  <si>
    <t>Henrique Dias</t>
  </si>
  <si>
    <t>Isabela Nunes</t>
  </si>
  <si>
    <t>João Pedro</t>
  </si>
  <si>
    <t>Larissa Melo</t>
  </si>
  <si>
    <t>Marcos Vinicius</t>
  </si>
  <si>
    <t>Natalia Alves</t>
  </si>
  <si>
    <t>Otavio Ribeiro</t>
  </si>
  <si>
    <t>Paula Ferreira</t>
  </si>
  <si>
    <t>Rafael Barbosa</t>
  </si>
  <si>
    <t>Sabrina Lopes</t>
  </si>
  <si>
    <t>Thiago Martins</t>
  </si>
  <si>
    <t>Vanessa Lima</t>
  </si>
  <si>
    <t>Wesley Andrade</t>
  </si>
  <si>
    <t>Aline Castro</t>
  </si>
  <si>
    <t>Carlos Eduardo</t>
  </si>
  <si>
    <t>Debora Silva</t>
  </si>
  <si>
    <t>Eduardo Moraes</t>
  </si>
  <si>
    <t>Fernanda Gomes</t>
  </si>
  <si>
    <t>Gustavo Ribeiro</t>
  </si>
  <si>
    <t>Helena Duarte</t>
  </si>
  <si>
    <t>Igor Carvalho</t>
  </si>
  <si>
    <t>Juliana Freitas</t>
  </si>
  <si>
    <t>Kleber Oliveira</t>
  </si>
  <si>
    <t>Leticia Ramos</t>
  </si>
  <si>
    <t>Mateus Pereira</t>
  </si>
  <si>
    <t>Nicolas Santos</t>
  </si>
  <si>
    <t>Olivia Almeida</t>
  </si>
  <si>
    <t>Pedro Henrique</t>
  </si>
  <si>
    <t>Quezia Rocha</t>
  </si>
  <si>
    <t>Renato Teixeira</t>
  </si>
  <si>
    <t>Simone Batista</t>
  </si>
  <si>
    <t>Tatiane Lopes</t>
  </si>
  <si>
    <t>Ulisses Moura</t>
  </si>
  <si>
    <t>Vitor Hugo</t>
  </si>
  <si>
    <t>Willian Souza</t>
  </si>
  <si>
    <t>Yasmin Andrade</t>
  </si>
  <si>
    <t>Zuleica Costa</t>
  </si>
  <si>
    <t>Anderson Prado</t>
  </si>
  <si>
    <t>Bianca Melo</t>
  </si>
  <si>
    <t>Caio Fernandes</t>
  </si>
  <si>
    <t>Daiane Alves</t>
  </si>
  <si>
    <t>Erick Matos</t>
  </si>
  <si>
    <t>Fabiana Lima</t>
  </si>
  <si>
    <t>123.456.781-00</t>
  </si>
  <si>
    <t>123.456.782-00</t>
  </si>
  <si>
    <t>123.456.783-00</t>
  </si>
  <si>
    <t>123.456.784-00</t>
  </si>
  <si>
    <t>123.456.785-00</t>
  </si>
  <si>
    <t>123.456.786-00</t>
  </si>
  <si>
    <t>123.456.787-00</t>
  </si>
  <si>
    <t>123.456.788-00</t>
  </si>
  <si>
    <t>123.456.789-00</t>
  </si>
  <si>
    <t>123.456.790-00</t>
  </si>
  <si>
    <t>123.456.791-00</t>
  </si>
  <si>
    <t>123.456.792-00</t>
  </si>
  <si>
    <t>123.456.793-00</t>
  </si>
  <si>
    <t>123.456.794-00</t>
  </si>
  <si>
    <t>123.456.795-00</t>
  </si>
  <si>
    <t>123.456.796-00</t>
  </si>
  <si>
    <t>123.456.797-00</t>
  </si>
  <si>
    <t>123.456.798-00</t>
  </si>
  <si>
    <t>123.456.799-00</t>
  </si>
  <si>
    <t>123.456.800-00</t>
  </si>
  <si>
    <t>123.456.801-00</t>
  </si>
  <si>
    <t>123.456.802-00</t>
  </si>
  <si>
    <t>123.456.803-00</t>
  </si>
  <si>
    <t>123.456.804-00</t>
  </si>
  <si>
    <t>123.456.805-00</t>
  </si>
  <si>
    <t>123.456.806-00</t>
  </si>
  <si>
    <t>123.456.807-00</t>
  </si>
  <si>
    <t>123.456.808-00</t>
  </si>
  <si>
    <t>123.456.809-00</t>
  </si>
  <si>
    <t>123.456.810-00</t>
  </si>
  <si>
    <t>123.456.811-00</t>
  </si>
  <si>
    <t>123.456.812-00</t>
  </si>
  <si>
    <t>123.456.813-00</t>
  </si>
  <si>
    <t>123.456.814-00</t>
  </si>
  <si>
    <t>123.456.815-00</t>
  </si>
  <si>
    <t>123.456.816-00</t>
  </si>
  <si>
    <t>123.456.817-00</t>
  </si>
  <si>
    <t>123.456.818-00</t>
  </si>
  <si>
    <t>123.456.819-00</t>
  </si>
  <si>
    <t>123.456.820-00</t>
  </si>
  <si>
    <t>123.456.821-00</t>
  </si>
  <si>
    <t>123.456.822-00</t>
  </si>
  <si>
    <t>123.456.823-00</t>
  </si>
  <si>
    <t>123.456.824-00</t>
  </si>
  <si>
    <t>123.456.825-00</t>
  </si>
  <si>
    <t>123.456.826-00</t>
  </si>
  <si>
    <t>123.456.827-00</t>
  </si>
  <si>
    <t>123.456.828-00</t>
  </si>
  <si>
    <t>123.456.829-00</t>
  </si>
  <si>
    <t>123.456.830-00</t>
  </si>
  <si>
    <t>Brasileira</t>
  </si>
  <si>
    <t>Brasileiro</t>
  </si>
  <si>
    <t>Assistente Administrativo</t>
  </si>
  <si>
    <t>Analista Financeiro</t>
  </si>
  <si>
    <t>Estagiário</t>
  </si>
  <si>
    <t>Auxiliar Administrativo</t>
  </si>
  <si>
    <t>Analista RH</t>
  </si>
  <si>
    <t>Supervisor Financeiro</t>
  </si>
  <si>
    <t>Jovem Aprendiz</t>
  </si>
  <si>
    <t>Gerente Administrativo</t>
  </si>
  <si>
    <t>Assistente RH</t>
  </si>
  <si>
    <t>Analista Contábil</t>
  </si>
  <si>
    <t>Auxiliar Logístico</t>
  </si>
  <si>
    <t>Coordenador RH</t>
  </si>
  <si>
    <t>Analista Administrativo</t>
  </si>
  <si>
    <t>Supervisor Logístico</t>
  </si>
  <si>
    <t>Assistente Financeiro</t>
  </si>
  <si>
    <t>Gerente Financeiro</t>
  </si>
  <si>
    <t>Analista Fiscal</t>
  </si>
  <si>
    <t>Auxiliar RH</t>
  </si>
  <si>
    <t>Assistente Comercial</t>
  </si>
  <si>
    <t>Supervisor Administrativo</t>
  </si>
  <si>
    <t>Analista de Dados</t>
  </si>
  <si>
    <t>Assistente Contábil</t>
  </si>
  <si>
    <t>Auxiliar Financeiro</t>
  </si>
  <si>
    <t>Gerente RH</t>
  </si>
  <si>
    <t>Supervisor Comercial</t>
  </si>
  <si>
    <t>Coordenador Administrativo</t>
  </si>
  <si>
    <t>Supervisor Fiscal</t>
  </si>
  <si>
    <t>Gerente Comercial</t>
  </si>
  <si>
    <t>Assistente Logístico</t>
  </si>
  <si>
    <t>ana.souza@empresa.com</t>
  </si>
  <si>
    <t>bruno.lima@empresa.com</t>
  </si>
  <si>
    <t>carla.mendes@empresa.com</t>
  </si>
  <si>
    <t>daniel.rocha@empresa.com</t>
  </si>
  <si>
    <t>elisa.martins@empresa.com</t>
  </si>
  <si>
    <t>felipe.santos@empresa.com</t>
  </si>
  <si>
    <t>gabriela.costa@empresa.com</t>
  </si>
  <si>
    <t>henrique.dias@empresa.com</t>
  </si>
  <si>
    <t>isabela.nunes@empresa.com</t>
  </si>
  <si>
    <t>joao.pedro@empresa.com</t>
  </si>
  <si>
    <t>larissa.melo@empresa.com</t>
  </si>
  <si>
    <t>marcos.vinicius@empresa.com</t>
  </si>
  <si>
    <t>natalia.alves@empresa.com</t>
  </si>
  <si>
    <t>otavio.ribeiro@empresa.com</t>
  </si>
  <si>
    <t>paula.ferreira@empresa.com</t>
  </si>
  <si>
    <t>rafael.barbosa@empresa.com</t>
  </si>
  <si>
    <t>sabrina.lopes@empresa.com</t>
  </si>
  <si>
    <t>thiago.martins@empresa.com</t>
  </si>
  <si>
    <t>vanessa.lima@empresa.com</t>
  </si>
  <si>
    <t>wesley.andrade@empresa.com</t>
  </si>
  <si>
    <t>aline.castro@empresa.com</t>
  </si>
  <si>
    <t>carlos.eduardo@empresa.com</t>
  </si>
  <si>
    <t>debora.silva@empresa.com</t>
  </si>
  <si>
    <t>eduardo.moraes@empresa.com</t>
  </si>
  <si>
    <t>fernanda.gomes@empresa.com</t>
  </si>
  <si>
    <t>gustavo.ribeiro@empresa.com</t>
  </si>
  <si>
    <t>helena.duarte@empresa.com</t>
  </si>
  <si>
    <t>igor.carvalho@empresa.com</t>
  </si>
  <si>
    <t>juliana.freitas@empresa.com</t>
  </si>
  <si>
    <t>kleber.oliveira@empresa.com</t>
  </si>
  <si>
    <t>leticia.ramos@empresa.com</t>
  </si>
  <si>
    <t>mateus.pereira@empresa.com</t>
  </si>
  <si>
    <t>nicolas.santos@empresa.com</t>
  </si>
  <si>
    <t>olivia.almeida@empresa.com</t>
  </si>
  <si>
    <t>pedro.henrique@empresa.com</t>
  </si>
  <si>
    <t>quezia.rocha@empresa.com</t>
  </si>
  <si>
    <t>renato.teixeira@empresa.com</t>
  </si>
  <si>
    <t>simone.batista@empresa.com</t>
  </si>
  <si>
    <t>tatiane.lopes@empresa.com</t>
  </si>
  <si>
    <t>ulisses.moura@empresa.com</t>
  </si>
  <si>
    <t>vitor.hugo@empresa.com</t>
  </si>
  <si>
    <t>willian.souza@empresa.com</t>
  </si>
  <si>
    <t>yasmin.andrade@empresa.com</t>
  </si>
  <si>
    <t>zuleica.costa@empresa.com</t>
  </si>
  <si>
    <t>anderson.prado@empresa.com</t>
  </si>
  <si>
    <t>bianca.melo@empresa.com</t>
  </si>
  <si>
    <t>caio.fernandes@empresa.com</t>
  </si>
  <si>
    <t>daiane.alves@empresa.com</t>
  </si>
  <si>
    <t>erick.matos@empresa.com</t>
  </si>
  <si>
    <t>fabiana.lima@empresa.com</t>
  </si>
  <si>
    <t>ana.souza@gmail.com</t>
  </si>
  <si>
    <t>bruno.lima@gmail.com</t>
  </si>
  <si>
    <t>carla.mendes@gmail.com</t>
  </si>
  <si>
    <t>daniel.rocha@gmail.com</t>
  </si>
  <si>
    <t>elisa.martins@gmail.com</t>
  </si>
  <si>
    <t>felipe.santos@gmail.com</t>
  </si>
  <si>
    <t>gabriela.costa@gmail.com</t>
  </si>
  <si>
    <t>henrique.dias@gmail.com</t>
  </si>
  <si>
    <t>isabela.nunes@gmail.com</t>
  </si>
  <si>
    <t>joao.pedro@gmail.com</t>
  </si>
  <si>
    <t>larissa.melo@gmail.com</t>
  </si>
  <si>
    <t>marcos.vinicius@gmail.com</t>
  </si>
  <si>
    <t>natalia.alves@gmail.com</t>
  </si>
  <si>
    <t>otavio.ribeiro@gmail.com</t>
  </si>
  <si>
    <t>paula.ferreira@gmail.com</t>
  </si>
  <si>
    <t>rafael.barbosa@gmail.com</t>
  </si>
  <si>
    <t>sabrina.lopes@gmail.com</t>
  </si>
  <si>
    <t>thiago.martins@gmail.com</t>
  </si>
  <si>
    <t>vanessa.lima@gmail.com</t>
  </si>
  <si>
    <t>wesley.andrade@gmail.com</t>
  </si>
  <si>
    <t>aline.castro@gmail.com</t>
  </si>
  <si>
    <t>carlos.eduardo@gmail.com</t>
  </si>
  <si>
    <t>debora.silva@gmail.com</t>
  </si>
  <si>
    <t>eduardo.moraes@gmail.com</t>
  </si>
  <si>
    <t>fernanda.gomes@gmail.com</t>
  </si>
  <si>
    <t>gustavo.ribeiro@gmail.com</t>
  </si>
  <si>
    <t>helena.duarte@gmail.com</t>
  </si>
  <si>
    <t>igor.carvalho@gmail.com</t>
  </si>
  <si>
    <t>juliana.freitas@gmail.com</t>
  </si>
  <si>
    <t>kleber.oliveira@gmail.com</t>
  </si>
  <si>
    <t>leticia.ramos@gmail.com</t>
  </si>
  <si>
    <t>mateus.pereira@gmail.com</t>
  </si>
  <si>
    <t>nicolas.santos@gmail.com</t>
  </si>
  <si>
    <t>olivia.almeida@gmail.com</t>
  </si>
  <si>
    <t>pedro.henrique@gmail.com</t>
  </si>
  <si>
    <t>quezia.rocha@gmail.com</t>
  </si>
  <si>
    <t>renato.teixeira@gmail.com</t>
  </si>
  <si>
    <t>simone.batista@gmail.com</t>
  </si>
  <si>
    <t>tatiane.lopes@gmail.com</t>
  </si>
  <si>
    <t>ulisses.moura@gmail.com</t>
  </si>
  <si>
    <t>vitor.hugo@gmail.com</t>
  </si>
  <si>
    <t>willian.souza@gmail.com</t>
  </si>
  <si>
    <t>yasmin.andrade@gmail.com</t>
  </si>
  <si>
    <t>zuleica.costa@gmail.com</t>
  </si>
  <si>
    <t>anderson.prado@gmail.com</t>
  </si>
  <si>
    <t>bianca.melo@gmail.com</t>
  </si>
  <si>
    <t>caio.fernandes@gmail.com</t>
  </si>
  <si>
    <t>daiane.alves@gmail.com</t>
  </si>
  <si>
    <t>erick.matos@gmail.com</t>
  </si>
  <si>
    <t>fabiana.lima@gmail.com</t>
  </si>
  <si>
    <t>(13) 99100-0001</t>
  </si>
  <si>
    <t>(13) 99100-0002</t>
  </si>
  <si>
    <t>(13) 99100-0003</t>
  </si>
  <si>
    <t>(13) 99100-0004</t>
  </si>
  <si>
    <t>(13) 99100-0005</t>
  </si>
  <si>
    <t>(13) 99100-0006</t>
  </si>
  <si>
    <t>(13) 99100-0007</t>
  </si>
  <si>
    <t>(13) 99100-0008</t>
  </si>
  <si>
    <t>(13) 99100-0009</t>
  </si>
  <si>
    <t>(13) 99100-0010</t>
  </si>
  <si>
    <t>(13) 99100-0011</t>
  </si>
  <si>
    <t>(13) 99100-0012</t>
  </si>
  <si>
    <t>(13) 99100-0013</t>
  </si>
  <si>
    <t>(13) 99100-0014</t>
  </si>
  <si>
    <t>(13) 99100-0015</t>
  </si>
  <si>
    <t>(13) 99100-0016</t>
  </si>
  <si>
    <t>(13) 99100-0017</t>
  </si>
  <si>
    <t>(13) 99100-0018</t>
  </si>
  <si>
    <t>(13) 99100-0019</t>
  </si>
  <si>
    <t>(13) 99100-0020</t>
  </si>
  <si>
    <t>(13) 99100-0021</t>
  </si>
  <si>
    <t>(13) 99100-0022</t>
  </si>
  <si>
    <t>(13) 99100-0023</t>
  </si>
  <si>
    <t>(13) 99100-0024</t>
  </si>
  <si>
    <t>(13) 99100-0025</t>
  </si>
  <si>
    <t>(13) 99100-0026</t>
  </si>
  <si>
    <t>(13) 99100-0027</t>
  </si>
  <si>
    <t>(13) 99100-0028</t>
  </si>
  <si>
    <t>(13) 99100-0029</t>
  </si>
  <si>
    <t>(13) 99100-0030</t>
  </si>
  <si>
    <t>(13) 99100-0031</t>
  </si>
  <si>
    <t>(13) 99100-0032</t>
  </si>
  <si>
    <t>(13) 99100-0033</t>
  </si>
  <si>
    <t>(13) 99100-0034</t>
  </si>
  <si>
    <t>(13) 99100-0035</t>
  </si>
  <si>
    <t>(13) 99100-0036</t>
  </si>
  <si>
    <t>(13) 99100-0037</t>
  </si>
  <si>
    <t>(13) 99100-0038</t>
  </si>
  <si>
    <t>(13) 99100-0039</t>
  </si>
  <si>
    <t>(13) 99100-0040</t>
  </si>
  <si>
    <t>(13) 99100-0041</t>
  </si>
  <si>
    <t>(13) 99100-0042</t>
  </si>
  <si>
    <t>(13) 99100-0043</t>
  </si>
  <si>
    <t>(13) 99100-0044</t>
  </si>
  <si>
    <t>(13) 99100-0045</t>
  </si>
  <si>
    <t>(13) 99100-0046</t>
  </si>
  <si>
    <t>(13) 99100-0047</t>
  </si>
  <si>
    <t>(13) 99100-0048</t>
  </si>
  <si>
    <t>(13) 99100-0049</t>
  </si>
  <si>
    <t>(13) 99100-0050</t>
  </si>
  <si>
    <t>Rua das Flores, 101</t>
  </si>
  <si>
    <t>Rua da Paz, 202</t>
  </si>
  <si>
    <t>Rua do Comércio, 303</t>
  </si>
  <si>
    <t>Rua Primavera, 404</t>
  </si>
  <si>
    <t>Rua das Palmeiras, 505</t>
  </si>
  <si>
    <t>Rua das Acácias, 606</t>
  </si>
  <si>
    <t>Rua Vitória, 707</t>
  </si>
  <si>
    <t>Rua Esperança, 808</t>
  </si>
  <si>
    <t>Rua União, 909</t>
  </si>
  <si>
    <t>Rua Liberdade, 110</t>
  </si>
  <si>
    <t>Rua Progresso, 120</t>
  </si>
  <si>
    <t>Rua Horizonte, 130</t>
  </si>
  <si>
    <t>Rua Nova, 140</t>
  </si>
  <si>
    <t>Rua Antiga, 150</t>
  </si>
  <si>
    <t>Rua Central, 160</t>
  </si>
  <si>
    <t>Rua Brasil, 170</t>
  </si>
  <si>
    <t>Rua Atlântica, 180</t>
  </si>
  <si>
    <t>Rua Paulista, 190</t>
  </si>
  <si>
    <t>Rua Santos, 200</t>
  </si>
  <si>
    <t>Rua Itanhaém, 210</t>
  </si>
  <si>
    <t>Rua Peruíbe, 220</t>
  </si>
  <si>
    <t>Rua Guarujá, 230</t>
  </si>
  <si>
    <t>Rua São Vicente, 240</t>
  </si>
  <si>
    <t>Rua Cubatão, 250</t>
  </si>
  <si>
    <t>Rua Mongaguá, 260</t>
  </si>
  <si>
    <t>Rua Bertioga, 270</t>
  </si>
  <si>
    <t>Rua Praia Grande, 280</t>
  </si>
  <si>
    <t>Rua Caraguatatuba, 290</t>
  </si>
  <si>
    <t>Rua Ubatuba, 300</t>
  </si>
  <si>
    <t>Rua Ilhabela, 310</t>
  </si>
  <si>
    <t>Av. Central, 400</t>
  </si>
  <si>
    <t>Av. Brasil, 410</t>
  </si>
  <si>
    <t>Av. Paulista, 420</t>
  </si>
  <si>
    <t>Av. Atlântica, 430</t>
  </si>
  <si>
    <t>Av. Independência, 440</t>
  </si>
  <si>
    <t>Av. Santos Dumont, 450</t>
  </si>
  <si>
    <t>Av. Dom Pedro, 460</t>
  </si>
  <si>
    <t>Av. Getúlio Vargas, 470</t>
  </si>
  <si>
    <t>Av. Nove de Julho, 480</t>
  </si>
  <si>
    <t>Av. Rio Branco, 490</t>
  </si>
  <si>
    <t>Rua das Oliveiras, 501</t>
  </si>
  <si>
    <t>Rua das Mangueiras, 502</t>
  </si>
  <si>
    <t>Rua das Laranjeiras, 503</t>
  </si>
  <si>
    <t>Rua das Jabuticabeiras, 504</t>
  </si>
  <si>
    <t>Rua das Figueiras, 505</t>
  </si>
  <si>
    <t>Rua das Amendoeiras, 506</t>
  </si>
  <si>
    <t>Rua das Cerejeiras, 507</t>
  </si>
  <si>
    <t>Rua das Hortênsias, 508</t>
  </si>
  <si>
    <t>Rua das Orquídeas, 509</t>
  </si>
  <si>
    <t>Rua das Tulipas, 510</t>
  </si>
  <si>
    <t>Administrativo</t>
  </si>
  <si>
    <t>Financeiro</t>
  </si>
  <si>
    <t>Recursos Humanos</t>
  </si>
  <si>
    <t>Comercial</t>
  </si>
  <si>
    <t>Logística</t>
  </si>
  <si>
    <t>TI</t>
  </si>
  <si>
    <t>Marketing</t>
  </si>
  <si>
    <t>Compras</t>
  </si>
  <si>
    <t>Atendimento</t>
  </si>
  <si>
    <t>Operacional</t>
  </si>
  <si>
    <t>Carlos Silva</t>
  </si>
  <si>
    <t>Mariana Costa</t>
  </si>
  <si>
    <t>Ricardo Alves</t>
  </si>
  <si>
    <t>Fernanda Rocha</t>
  </si>
  <si>
    <t>Paulo Mendes</t>
  </si>
  <si>
    <t>Juliana Martins</t>
  </si>
  <si>
    <t>Eduardo Lima</t>
  </si>
  <si>
    <t>Patrícia Souza</t>
  </si>
  <si>
    <t>André Ribeiro</t>
  </si>
  <si>
    <t>Camila Santos</t>
  </si>
  <si>
    <t>CLT</t>
  </si>
  <si>
    <t>Estágio</t>
  </si>
  <si>
    <t>Temporário</t>
  </si>
  <si>
    <t>Presencial</t>
  </si>
  <si>
    <t>Híbrido</t>
  </si>
  <si>
    <t>44h semanais</t>
  </si>
  <si>
    <t>30h semanais</t>
  </si>
  <si>
    <t>Ativo</t>
  </si>
  <si>
    <t>ANÁLISE RH</t>
  </si>
  <si>
    <t>FOLHA SALARIAL TOTAL</t>
  </si>
  <si>
    <t>TOTAL DE FUNCIONÁRIOS</t>
  </si>
  <si>
    <t>QTD FUNCIONÁRIOS</t>
  </si>
  <si>
    <t>QTD FUNCIONÁRIOS:</t>
  </si>
  <si>
    <t>SALÁRIO DE TODOS FUNCIONÁRIOS</t>
  </si>
  <si>
    <t>MÉDIA SALARIAL</t>
  </si>
  <si>
    <t xml:space="preserve">MÉDIA SALARIAL </t>
  </si>
  <si>
    <t xml:space="preserve">MAIOR SALÁRIO DA EMPRESA </t>
  </si>
  <si>
    <t>FUNCIONÁRIO</t>
  </si>
  <si>
    <t>MENOR SALÁRIO DA EMPRESA</t>
  </si>
  <si>
    <t>SALÁRIO VALOR</t>
  </si>
  <si>
    <t>QUANTIDADE DE FUNCIONÁRIOS DE CADA CONTRATO</t>
  </si>
  <si>
    <t>QTD CLT</t>
  </si>
  <si>
    <t>QTD ESTÁGIO</t>
  </si>
  <si>
    <t>QTD TEMPÓRARIO</t>
  </si>
  <si>
    <t>DATA ADMISSÃO</t>
  </si>
  <si>
    <t>DIA HOJE</t>
  </si>
  <si>
    <t xml:space="preserve">QUANTO TEMPO NA EMPRESA </t>
  </si>
  <si>
    <t>3 anos</t>
  </si>
  <si>
    <t>2 anos</t>
  </si>
  <si>
    <t>1 anos</t>
  </si>
  <si>
    <t xml:space="preserve">5 dias </t>
  </si>
  <si>
    <t>10 mêses</t>
  </si>
  <si>
    <t>11 mêses</t>
  </si>
  <si>
    <t>9 mêses</t>
  </si>
  <si>
    <t>7 mêses</t>
  </si>
  <si>
    <t>5 mêses</t>
  </si>
  <si>
    <t>5mêses</t>
  </si>
  <si>
    <t>4 mêses</t>
  </si>
  <si>
    <t>2 mêses</t>
  </si>
  <si>
    <t>1 mêses</t>
  </si>
  <si>
    <t>6 mêses</t>
  </si>
  <si>
    <t>6 dias</t>
  </si>
  <si>
    <t>FUNCIONÁRIOS</t>
  </si>
  <si>
    <t xml:space="preserve">TEMPO DE EMPRESA ( anos e mês ) </t>
  </si>
  <si>
    <t>QUAL ÁREA TEM MAIS GENTE ?</t>
  </si>
  <si>
    <t xml:space="preserve">CARGOS </t>
  </si>
  <si>
    <t xml:space="preserve">Administrativo </t>
  </si>
  <si>
    <t xml:space="preserve">Financeiro </t>
  </si>
  <si>
    <t xml:space="preserve">Recursos Humanos </t>
  </si>
  <si>
    <t xml:space="preserve">Logística </t>
  </si>
  <si>
    <t xml:space="preserve">TI </t>
  </si>
  <si>
    <t xml:space="preserve">Marketing </t>
  </si>
  <si>
    <t xml:space="preserve">Compras </t>
  </si>
  <si>
    <t xml:space="preserve">Operacional </t>
  </si>
  <si>
    <t xml:space="preserve">Comercial </t>
  </si>
  <si>
    <t xml:space="preserve">TOTAL DE CARGOS </t>
  </si>
  <si>
    <t>TOTAL DE TUDO</t>
  </si>
  <si>
    <t>TOTAL DE ÁREAS NA EMPRESA</t>
  </si>
  <si>
    <t>QUAL ÁREA PAGA MAIS ?</t>
  </si>
  <si>
    <t>VALOR TOTAIS</t>
  </si>
  <si>
    <t xml:space="preserve"> "A Área que mais paga e o MARKETING".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</si>
</sst>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_-[$R$-416]\ * #,##0.00_-;\-[$R$-416]\ * #,##0.00_-;_-[$R$-416]\ * &quot;-&quot;??_-;_-@_-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28"/>
      <color theme="1"/>
      <name val="Arial"/>
      <family val="2"/>
    </font>
    <font>
      <b/>
      <sz val="16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8"/>
      <color theme="1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A7"/>
        <bgColor indexed="64"/>
      </patternFill>
    </fill>
    <fill>
      <patternFill patternType="solid">
        <fgColor theme="8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8">
    <xf numFmtId="0" fontId="0" fillId="0" borderId="0" xfId="0"/>
    <xf numFmtId="0" fontId="3" fillId="0" borderId="0" xfId="0" applyFont="1"/>
    <xf numFmtId="0" fontId="0" fillId="0" borderId="1" xfId="0" applyBorder="1"/>
    <xf numFmtId="14" fontId="0" fillId="0" borderId="1" xfId="0" applyNumberFormat="1" applyBorder="1"/>
    <xf numFmtId="164" fontId="0" fillId="0" borderId="1" xfId="0" applyNumberFormat="1" applyBorder="1"/>
    <xf numFmtId="0" fontId="0" fillId="3" borderId="0" xfId="0" applyFill="1"/>
    <xf numFmtId="0" fontId="2" fillId="4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6" borderId="0" xfId="0" applyFill="1"/>
    <xf numFmtId="44" fontId="0" fillId="0" borderId="1" xfId="1" applyFont="1" applyBorder="1"/>
    <xf numFmtId="0" fontId="0" fillId="0" borderId="2" xfId="0" applyBorder="1"/>
    <xf numFmtId="44" fontId="0" fillId="0" borderId="0" xfId="0" applyNumberFormat="1"/>
    <xf numFmtId="164" fontId="0" fillId="0" borderId="0" xfId="0" applyNumberFormat="1"/>
    <xf numFmtId="44" fontId="0" fillId="0" borderId="3" xfId="1" applyFont="1" applyBorder="1"/>
    <xf numFmtId="0" fontId="0" fillId="0" borderId="1" xfId="0" applyBorder="1" applyAlignment="1">
      <alignment horizontal="center" vertical="center"/>
    </xf>
    <xf numFmtId="14" fontId="0" fillId="0" borderId="0" xfId="0" applyNumberFormat="1"/>
    <xf numFmtId="0" fontId="0" fillId="0" borderId="1" xfId="0" applyBorder="1" applyAlignment="1">
      <alignment horizontal="right"/>
    </xf>
    <xf numFmtId="0" fontId="0" fillId="0" borderId="4" xfId="0" applyBorder="1"/>
    <xf numFmtId="0" fontId="0" fillId="0" borderId="2" xfId="0" applyFill="1" applyBorder="1"/>
    <xf numFmtId="0" fontId="0" fillId="0" borderId="1" xfId="0" applyFill="1" applyBorder="1"/>
    <xf numFmtId="0" fontId="5" fillId="5" borderId="0" xfId="0" applyFont="1" applyFill="1"/>
    <xf numFmtId="0" fontId="3" fillId="4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6" fillId="10" borderId="1" xfId="0" applyFont="1" applyFill="1" applyBorder="1" applyAlignment="1">
      <alignment horizontal="center"/>
    </xf>
    <xf numFmtId="0" fontId="6" fillId="9" borderId="1" xfId="0" applyFont="1" applyFill="1" applyBorder="1" applyAlignment="1">
      <alignment horizontal="center"/>
    </xf>
    <xf numFmtId="0" fontId="7" fillId="8" borderId="1" xfId="0" applyFont="1" applyFill="1" applyBorder="1" applyAlignment="1">
      <alignment horizontal="center"/>
    </xf>
    <xf numFmtId="0" fontId="7" fillId="7" borderId="1" xfId="0" applyFont="1" applyFill="1" applyBorder="1" applyAlignment="1">
      <alignment horizontal="center"/>
    </xf>
    <xf numFmtId="0" fontId="7" fillId="11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/>
    </xf>
    <xf numFmtId="0" fontId="4" fillId="13" borderId="4" xfId="0" applyFont="1" applyFill="1" applyBorder="1"/>
    <xf numFmtId="0" fontId="4" fillId="13" borderId="4" xfId="0" applyFont="1" applyFill="1" applyBorder="1" applyAlignment="1">
      <alignment horizontal="center"/>
    </xf>
    <xf numFmtId="0" fontId="4" fillId="13" borderId="0" xfId="0" applyFont="1" applyFill="1"/>
    <xf numFmtId="0" fontId="0" fillId="6" borderId="5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14" borderId="2" xfId="0" applyFill="1" applyBorder="1"/>
    <xf numFmtId="0" fontId="0" fillId="14" borderId="1" xfId="0" applyFill="1" applyBorder="1"/>
    <xf numFmtId="0" fontId="4" fillId="0" borderId="1" xfId="0" applyFont="1" applyFill="1" applyBorder="1" applyAlignment="1">
      <alignment horizontal="center"/>
    </xf>
    <xf numFmtId="0" fontId="8" fillId="2" borderId="0" xfId="0" applyFont="1" applyFill="1" applyBorder="1" applyAlignment="1">
      <alignment vertical="center"/>
    </xf>
  </cellXfs>
  <cellStyles count="2">
    <cellStyle name="Moeda" xfId="1" builtinId="4"/>
    <cellStyle name="Normal" xfId="0" builtinId="0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FFFFA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903803</xdr:colOff>
      <xdr:row>0</xdr:row>
      <xdr:rowOff>58328</xdr:rowOff>
    </xdr:from>
    <xdr:to>
      <xdr:col>6</xdr:col>
      <xdr:colOff>95892</xdr:colOff>
      <xdr:row>0</xdr:row>
      <xdr:rowOff>672772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496818E-8127-D397-ED01-9F2A46B61A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08438" y="58328"/>
          <a:ext cx="561976" cy="61444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76D0F-E628-40E8-A0A5-E783A022AC7F}">
  <dimension ref="A1:U59"/>
  <sheetViews>
    <sheetView tabSelected="1" zoomScale="89" zoomScaleNormal="89" workbookViewId="0">
      <selection activeCell="F2" sqref="F2"/>
    </sheetView>
  </sheetViews>
  <sheetFormatPr defaultRowHeight="15" x14ac:dyDescent="0.25"/>
  <cols>
    <col min="2" max="2" width="22" bestFit="1" customWidth="1"/>
    <col min="3" max="3" width="14" bestFit="1" customWidth="1"/>
    <col min="4" max="4" width="27.42578125" bestFit="1" customWidth="1"/>
    <col min="5" max="5" width="8.42578125" bestFit="1" customWidth="1"/>
    <col min="6" max="6" width="20.5703125" bestFit="1" customWidth="1"/>
    <col min="7" max="7" width="30.140625" bestFit="1" customWidth="1"/>
    <col min="8" max="8" width="27.140625" bestFit="1" customWidth="1"/>
    <col min="9" max="9" width="14.7109375" bestFit="1" customWidth="1"/>
    <col min="10" max="10" width="25.140625" bestFit="1" customWidth="1"/>
    <col min="11" max="11" width="26.7109375" bestFit="1" customWidth="1"/>
    <col min="12" max="12" width="17.85546875" bestFit="1" customWidth="1"/>
    <col min="13" max="13" width="17.28515625" customWidth="1"/>
    <col min="14" max="14" width="23.7109375" bestFit="1" customWidth="1"/>
    <col min="15" max="15" width="11.42578125" customWidth="1"/>
    <col min="16" max="16" width="20.28515625" bestFit="1" customWidth="1"/>
    <col min="17" max="17" width="15.85546875" bestFit="1" customWidth="1"/>
    <col min="18" max="18" width="24.42578125" bestFit="1" customWidth="1"/>
    <col min="19" max="19" width="10.85546875" customWidth="1"/>
    <col min="20" max="20" width="18.42578125" customWidth="1"/>
  </cols>
  <sheetData>
    <row r="1" spans="1:21" s="37" customFormat="1" ht="57" customHeight="1" x14ac:dyDescent="0.25">
      <c r="A1" s="37" t="s">
        <v>0</v>
      </c>
    </row>
    <row r="2" spans="1:21" s="5" customFormat="1" ht="9" customHeight="1" x14ac:dyDescent="0.25"/>
    <row r="3" spans="1:21" s="7" customFormat="1" ht="27" customHeight="1" x14ac:dyDescent="0.25">
      <c r="A3" s="6" t="s">
        <v>1</v>
      </c>
      <c r="B3" s="6" t="s">
        <v>2</v>
      </c>
      <c r="C3" s="6" t="s">
        <v>3</v>
      </c>
      <c r="D3" s="6" t="s">
        <v>4</v>
      </c>
      <c r="E3" s="6" t="s">
        <v>5</v>
      </c>
      <c r="F3" s="6" t="s">
        <v>6</v>
      </c>
      <c r="G3" s="6" t="s">
        <v>7</v>
      </c>
      <c r="H3" s="6" t="s">
        <v>8</v>
      </c>
      <c r="I3" s="6" t="s">
        <v>9</v>
      </c>
      <c r="J3" s="6" t="s">
        <v>10</v>
      </c>
      <c r="K3" s="6" t="s">
        <v>11</v>
      </c>
      <c r="L3" s="6" t="s">
        <v>12</v>
      </c>
      <c r="M3" s="6" t="s">
        <v>13</v>
      </c>
      <c r="N3" s="6" t="s">
        <v>14</v>
      </c>
      <c r="O3" s="6" t="s">
        <v>15</v>
      </c>
      <c r="P3" s="6" t="s">
        <v>16</v>
      </c>
      <c r="Q3" s="6" t="s">
        <v>17</v>
      </c>
      <c r="R3" s="6" t="s">
        <v>18</v>
      </c>
      <c r="S3" s="6" t="s">
        <v>19</v>
      </c>
    </row>
    <row r="4" spans="1:21" x14ac:dyDescent="0.25">
      <c r="A4" s="2">
        <v>1</v>
      </c>
      <c r="B4" s="2" t="s">
        <v>20</v>
      </c>
      <c r="C4" s="2" t="s">
        <v>70</v>
      </c>
      <c r="D4" s="3">
        <v>36597</v>
      </c>
      <c r="E4" s="2">
        <v>25</v>
      </c>
      <c r="F4" s="2" t="s">
        <v>120</v>
      </c>
      <c r="G4" s="2" t="s">
        <v>151</v>
      </c>
      <c r="H4" s="2" t="s">
        <v>201</v>
      </c>
      <c r="I4" s="2" t="s">
        <v>251</v>
      </c>
      <c r="J4" s="2" t="s">
        <v>301</v>
      </c>
      <c r="K4" s="2" t="s">
        <v>122</v>
      </c>
      <c r="L4" s="2" t="s">
        <v>351</v>
      </c>
      <c r="M4" s="2" t="s">
        <v>361</v>
      </c>
      <c r="N4" s="2" t="s">
        <v>371</v>
      </c>
      <c r="O4" s="2" t="s">
        <v>374</v>
      </c>
      <c r="P4" s="2" t="s">
        <v>376</v>
      </c>
      <c r="Q4" s="4">
        <v>1800</v>
      </c>
      <c r="R4" s="3">
        <v>44936</v>
      </c>
      <c r="S4" s="2" t="s">
        <v>378</v>
      </c>
      <c r="T4" s="2" t="s">
        <v>351</v>
      </c>
      <c r="U4">
        <v>10900</v>
      </c>
    </row>
    <row r="5" spans="1:21" x14ac:dyDescent="0.25">
      <c r="A5" s="2">
        <v>2</v>
      </c>
      <c r="B5" s="2" t="s">
        <v>21</v>
      </c>
      <c r="C5" s="2" t="s">
        <v>71</v>
      </c>
      <c r="D5" s="3">
        <v>35981</v>
      </c>
      <c r="E5" s="2">
        <v>27</v>
      </c>
      <c r="F5" s="2" t="s">
        <v>121</v>
      </c>
      <c r="G5" s="2" t="s">
        <v>152</v>
      </c>
      <c r="H5" s="2" t="s">
        <v>202</v>
      </c>
      <c r="I5" s="2" t="s">
        <v>252</v>
      </c>
      <c r="J5" s="2" t="s">
        <v>302</v>
      </c>
      <c r="K5" s="2" t="s">
        <v>123</v>
      </c>
      <c r="L5" s="2" t="s">
        <v>352</v>
      </c>
      <c r="M5" s="2" t="s">
        <v>362</v>
      </c>
      <c r="N5" s="2" t="s">
        <v>371</v>
      </c>
      <c r="O5" s="2" t="s">
        <v>374</v>
      </c>
      <c r="P5" s="2" t="s">
        <v>376</v>
      </c>
      <c r="Q5" s="4">
        <v>2500</v>
      </c>
      <c r="R5" s="3">
        <v>44972</v>
      </c>
      <c r="S5" s="2" t="s">
        <v>378</v>
      </c>
      <c r="T5" s="2" t="s">
        <v>352</v>
      </c>
      <c r="U5">
        <v>11300</v>
      </c>
    </row>
    <row r="6" spans="1:21" x14ac:dyDescent="0.25">
      <c r="A6" s="2">
        <v>3</v>
      </c>
      <c r="B6" s="2" t="s">
        <v>22</v>
      </c>
      <c r="C6" s="2" t="s">
        <v>72</v>
      </c>
      <c r="D6" s="3">
        <v>37521</v>
      </c>
      <c r="E6" s="2">
        <v>23</v>
      </c>
      <c r="F6" s="2" t="s">
        <v>120</v>
      </c>
      <c r="G6" s="2" t="s">
        <v>153</v>
      </c>
      <c r="H6" s="2" t="s">
        <v>203</v>
      </c>
      <c r="I6" s="2" t="s">
        <v>253</v>
      </c>
      <c r="J6" s="2" t="s">
        <v>303</v>
      </c>
      <c r="K6" s="2" t="s">
        <v>124</v>
      </c>
      <c r="L6" s="2" t="s">
        <v>353</v>
      </c>
      <c r="M6" s="2" t="s">
        <v>363</v>
      </c>
      <c r="N6" s="2" t="s">
        <v>371</v>
      </c>
      <c r="O6" s="2" t="s">
        <v>375</v>
      </c>
      <c r="P6" s="2" t="s">
        <v>376</v>
      </c>
      <c r="Q6" s="4">
        <v>3200</v>
      </c>
      <c r="R6" s="3">
        <v>45005</v>
      </c>
      <c r="S6" s="2" t="s">
        <v>378</v>
      </c>
      <c r="T6" s="2" t="s">
        <v>353</v>
      </c>
      <c r="U6">
        <v>12900</v>
      </c>
    </row>
    <row r="7" spans="1:21" x14ac:dyDescent="0.25">
      <c r="A7" s="2">
        <v>4</v>
      </c>
      <c r="B7" s="2" t="s">
        <v>23</v>
      </c>
      <c r="C7" s="2" t="s">
        <v>73</v>
      </c>
      <c r="D7" s="3">
        <v>35021</v>
      </c>
      <c r="E7" s="2">
        <v>30</v>
      </c>
      <c r="F7" s="2" t="s">
        <v>121</v>
      </c>
      <c r="G7" s="2" t="s">
        <v>154</v>
      </c>
      <c r="H7" s="2" t="s">
        <v>204</v>
      </c>
      <c r="I7" s="2" t="s">
        <v>254</v>
      </c>
      <c r="J7" s="2" t="s">
        <v>304</v>
      </c>
      <c r="K7" s="2" t="s">
        <v>125</v>
      </c>
      <c r="L7" s="2" t="s">
        <v>354</v>
      </c>
      <c r="M7" s="2" t="s">
        <v>364</v>
      </c>
      <c r="N7" s="2" t="s">
        <v>371</v>
      </c>
      <c r="O7" s="2" t="s">
        <v>374</v>
      </c>
      <c r="P7" s="2" t="s">
        <v>376</v>
      </c>
      <c r="Q7" s="4">
        <v>2100</v>
      </c>
      <c r="R7" s="3">
        <v>45021</v>
      </c>
      <c r="S7" s="2" t="s">
        <v>378</v>
      </c>
      <c r="T7" s="2" t="s">
        <v>355</v>
      </c>
      <c r="U7">
        <v>11600</v>
      </c>
    </row>
    <row r="8" spans="1:21" x14ac:dyDescent="0.25">
      <c r="A8" s="2">
        <v>5</v>
      </c>
      <c r="B8" s="2" t="s">
        <v>24</v>
      </c>
      <c r="C8" s="2" t="s">
        <v>74</v>
      </c>
      <c r="D8" s="3">
        <v>36169</v>
      </c>
      <c r="E8" s="2">
        <v>26</v>
      </c>
      <c r="F8" s="2" t="s">
        <v>120</v>
      </c>
      <c r="G8" s="2" t="s">
        <v>155</v>
      </c>
      <c r="H8" s="2" t="s">
        <v>205</v>
      </c>
      <c r="I8" s="2" t="s">
        <v>255</v>
      </c>
      <c r="J8" s="2" t="s">
        <v>305</v>
      </c>
      <c r="K8" s="2" t="s">
        <v>126</v>
      </c>
      <c r="L8" s="2" t="s">
        <v>355</v>
      </c>
      <c r="M8" s="2" t="s">
        <v>365</v>
      </c>
      <c r="N8" s="2" t="s">
        <v>371</v>
      </c>
      <c r="O8" s="2" t="s">
        <v>374</v>
      </c>
      <c r="P8" s="2" t="s">
        <v>376</v>
      </c>
      <c r="Q8" s="4">
        <v>1900</v>
      </c>
      <c r="R8" s="3">
        <v>45064</v>
      </c>
      <c r="S8" s="2" t="s">
        <v>378</v>
      </c>
      <c r="T8" s="2" t="s">
        <v>356</v>
      </c>
      <c r="U8">
        <v>10000</v>
      </c>
    </row>
    <row r="9" spans="1:21" x14ac:dyDescent="0.25">
      <c r="A9" s="2">
        <v>6</v>
      </c>
      <c r="B9" s="2" t="s">
        <v>25</v>
      </c>
      <c r="C9" s="2" t="s">
        <v>75</v>
      </c>
      <c r="D9" s="3">
        <v>35534</v>
      </c>
      <c r="E9" s="2">
        <v>28</v>
      </c>
      <c r="F9" s="2" t="s">
        <v>121</v>
      </c>
      <c r="G9" s="2" t="s">
        <v>156</v>
      </c>
      <c r="H9" s="2" t="s">
        <v>206</v>
      </c>
      <c r="I9" s="2" t="s">
        <v>256</v>
      </c>
      <c r="J9" s="2" t="s">
        <v>306</v>
      </c>
      <c r="K9" s="2" t="s">
        <v>127</v>
      </c>
      <c r="L9" s="2" t="s">
        <v>356</v>
      </c>
      <c r="M9" s="2" t="s">
        <v>366</v>
      </c>
      <c r="N9" s="2" t="s">
        <v>372</v>
      </c>
      <c r="O9" s="2" t="s">
        <v>374</v>
      </c>
      <c r="P9" s="2" t="s">
        <v>377</v>
      </c>
      <c r="Q9" s="4">
        <v>1200</v>
      </c>
      <c r="R9" s="3">
        <v>45078</v>
      </c>
      <c r="S9" s="2" t="s">
        <v>378</v>
      </c>
      <c r="T9" s="2" t="s">
        <v>357</v>
      </c>
      <c r="U9">
        <v>15600</v>
      </c>
    </row>
    <row r="10" spans="1:21" x14ac:dyDescent="0.25">
      <c r="A10" s="2">
        <v>7</v>
      </c>
      <c r="B10" s="2" t="s">
        <v>26</v>
      </c>
      <c r="C10" s="2" t="s">
        <v>76</v>
      </c>
      <c r="D10" s="3">
        <v>37072</v>
      </c>
      <c r="E10" s="2">
        <v>24</v>
      </c>
      <c r="F10" s="2" t="s">
        <v>120</v>
      </c>
      <c r="G10" s="2" t="s">
        <v>157</v>
      </c>
      <c r="H10" s="2" t="s">
        <v>207</v>
      </c>
      <c r="I10" s="2" t="s">
        <v>257</v>
      </c>
      <c r="J10" s="2" t="s">
        <v>307</v>
      </c>
      <c r="K10" s="2" t="s">
        <v>128</v>
      </c>
      <c r="L10" s="2" t="s">
        <v>357</v>
      </c>
      <c r="M10" s="2" t="s">
        <v>367</v>
      </c>
      <c r="N10" s="2" t="s">
        <v>371</v>
      </c>
      <c r="O10" s="2" t="s">
        <v>375</v>
      </c>
      <c r="P10" s="2" t="s">
        <v>376</v>
      </c>
      <c r="Q10" s="4">
        <v>3500</v>
      </c>
      <c r="R10" s="3">
        <v>45119</v>
      </c>
      <c r="S10" s="2" t="s">
        <v>378</v>
      </c>
      <c r="T10" s="2" t="s">
        <v>358</v>
      </c>
      <c r="U10">
        <v>11100</v>
      </c>
    </row>
    <row r="11" spans="1:21" x14ac:dyDescent="0.25">
      <c r="A11" s="2">
        <v>8</v>
      </c>
      <c r="B11" s="2" t="s">
        <v>27</v>
      </c>
      <c r="C11" s="2" t="s">
        <v>77</v>
      </c>
      <c r="D11" s="3">
        <v>35120</v>
      </c>
      <c r="E11" s="2">
        <v>29</v>
      </c>
      <c r="F11" s="2" t="s">
        <v>121</v>
      </c>
      <c r="G11" s="2" t="s">
        <v>158</v>
      </c>
      <c r="H11" s="2" t="s">
        <v>208</v>
      </c>
      <c r="I11" s="2" t="s">
        <v>258</v>
      </c>
      <c r="J11" s="2" t="s">
        <v>308</v>
      </c>
      <c r="K11" s="2" t="s">
        <v>129</v>
      </c>
      <c r="L11" s="2" t="s">
        <v>358</v>
      </c>
      <c r="M11" s="2" t="s">
        <v>368</v>
      </c>
      <c r="N11" s="2" t="s">
        <v>371</v>
      </c>
      <c r="O11" s="2" t="s">
        <v>374</v>
      </c>
      <c r="P11" s="2" t="s">
        <v>376</v>
      </c>
      <c r="Q11" s="4">
        <v>2200</v>
      </c>
      <c r="R11" s="3">
        <v>45160</v>
      </c>
      <c r="S11" s="2" t="s">
        <v>378</v>
      </c>
      <c r="T11" s="2" t="s">
        <v>360</v>
      </c>
      <c r="U11">
        <v>12500</v>
      </c>
    </row>
    <row r="12" spans="1:21" x14ac:dyDescent="0.25">
      <c r="A12" s="2">
        <v>9</v>
      </c>
      <c r="B12" s="2" t="s">
        <v>28</v>
      </c>
      <c r="C12" s="2" t="s">
        <v>78</v>
      </c>
      <c r="D12" s="3">
        <v>37840</v>
      </c>
      <c r="E12" s="2">
        <v>22</v>
      </c>
      <c r="F12" s="2" t="s">
        <v>120</v>
      </c>
      <c r="G12" s="2" t="s">
        <v>159</v>
      </c>
      <c r="H12" s="2" t="s">
        <v>209</v>
      </c>
      <c r="I12" s="2" t="s">
        <v>259</v>
      </c>
      <c r="J12" s="2" t="s">
        <v>309</v>
      </c>
      <c r="K12" s="2" t="s">
        <v>130</v>
      </c>
      <c r="L12" s="2" t="s">
        <v>359</v>
      </c>
      <c r="M12" s="2" t="s">
        <v>369</v>
      </c>
      <c r="N12" s="2" t="s">
        <v>373</v>
      </c>
      <c r="O12" s="2" t="s">
        <v>374</v>
      </c>
      <c r="P12" s="2" t="s">
        <v>376</v>
      </c>
      <c r="Q12" s="4">
        <v>1700</v>
      </c>
      <c r="R12" s="3">
        <v>45199</v>
      </c>
      <c r="S12" s="2" t="s">
        <v>378</v>
      </c>
      <c r="T12" s="2" t="s">
        <v>354</v>
      </c>
      <c r="U12">
        <v>12600</v>
      </c>
    </row>
    <row r="13" spans="1:21" x14ac:dyDescent="0.25">
      <c r="A13" s="2">
        <v>10</v>
      </c>
      <c r="B13" s="2" t="s">
        <v>29</v>
      </c>
      <c r="C13" s="2" t="s">
        <v>79</v>
      </c>
      <c r="D13" s="3">
        <v>34687</v>
      </c>
      <c r="E13" s="2">
        <v>31</v>
      </c>
      <c r="F13" s="2" t="s">
        <v>121</v>
      </c>
      <c r="G13" s="2" t="s">
        <v>160</v>
      </c>
      <c r="H13" s="2" t="s">
        <v>210</v>
      </c>
      <c r="I13" s="2" t="s">
        <v>260</v>
      </c>
      <c r="J13" s="2" t="s">
        <v>310</v>
      </c>
      <c r="K13" s="2" t="s">
        <v>131</v>
      </c>
      <c r="L13" s="2" t="s">
        <v>360</v>
      </c>
      <c r="M13" s="2" t="s">
        <v>370</v>
      </c>
      <c r="N13" s="2" t="s">
        <v>371</v>
      </c>
      <c r="O13" s="2" t="s">
        <v>374</v>
      </c>
      <c r="P13" s="2" t="s">
        <v>376</v>
      </c>
      <c r="Q13" s="4">
        <v>2000</v>
      </c>
      <c r="R13" s="3">
        <v>45209</v>
      </c>
      <c r="S13" s="2" t="s">
        <v>378</v>
      </c>
      <c r="T13">
        <f>SUMIF(L:L,T12,Q:Q)</f>
        <v>12600</v>
      </c>
    </row>
    <row r="14" spans="1:21" x14ac:dyDescent="0.25">
      <c r="A14" s="2">
        <v>11</v>
      </c>
      <c r="B14" s="2" t="s">
        <v>30</v>
      </c>
      <c r="C14" s="2" t="s">
        <v>80</v>
      </c>
      <c r="D14" s="3">
        <v>36656</v>
      </c>
      <c r="E14" s="2">
        <v>25</v>
      </c>
      <c r="F14" s="2" t="s">
        <v>120</v>
      </c>
      <c r="G14" s="2" t="s">
        <v>161</v>
      </c>
      <c r="H14" s="2" t="s">
        <v>211</v>
      </c>
      <c r="I14" s="2" t="s">
        <v>261</v>
      </c>
      <c r="J14" s="2" t="s">
        <v>311</v>
      </c>
      <c r="K14" s="2" t="s">
        <v>132</v>
      </c>
      <c r="L14" s="2" t="s">
        <v>351</v>
      </c>
      <c r="M14" s="2" t="s">
        <v>361</v>
      </c>
      <c r="N14" s="2" t="s">
        <v>371</v>
      </c>
      <c r="O14" s="2" t="s">
        <v>375</v>
      </c>
      <c r="P14" s="2" t="s">
        <v>376</v>
      </c>
      <c r="Q14" s="4">
        <v>2400</v>
      </c>
      <c r="R14" s="3">
        <v>45235</v>
      </c>
      <c r="S14" s="2" t="s">
        <v>378</v>
      </c>
    </row>
    <row r="15" spans="1:21" x14ac:dyDescent="0.25">
      <c r="A15" s="2">
        <v>12</v>
      </c>
      <c r="B15" s="2" t="s">
        <v>31</v>
      </c>
      <c r="C15" s="2" t="s">
        <v>81</v>
      </c>
      <c r="D15" s="3">
        <v>34049</v>
      </c>
      <c r="E15" s="2">
        <v>32</v>
      </c>
      <c r="F15" s="2" t="s">
        <v>121</v>
      </c>
      <c r="G15" s="2" t="s">
        <v>162</v>
      </c>
      <c r="H15" s="2" t="s">
        <v>212</v>
      </c>
      <c r="I15" s="2" t="s">
        <v>262</v>
      </c>
      <c r="J15" s="2" t="s">
        <v>312</v>
      </c>
      <c r="K15" s="2" t="s">
        <v>133</v>
      </c>
      <c r="L15" s="2" t="s">
        <v>352</v>
      </c>
      <c r="M15" s="2" t="s">
        <v>362</v>
      </c>
      <c r="N15" s="2" t="s">
        <v>372</v>
      </c>
      <c r="O15" s="2" t="s">
        <v>374</v>
      </c>
      <c r="P15" s="2" t="s">
        <v>377</v>
      </c>
      <c r="Q15" s="4">
        <v>1300</v>
      </c>
      <c r="R15" s="3">
        <v>45278</v>
      </c>
      <c r="S15" s="2" t="s">
        <v>378</v>
      </c>
    </row>
    <row r="16" spans="1:21" x14ac:dyDescent="0.25">
      <c r="A16" s="2">
        <v>13</v>
      </c>
      <c r="B16" s="2" t="s">
        <v>32</v>
      </c>
      <c r="C16" s="2" t="s">
        <v>82</v>
      </c>
      <c r="D16" s="3">
        <v>35828</v>
      </c>
      <c r="E16" s="2">
        <v>27</v>
      </c>
      <c r="F16" s="2" t="s">
        <v>120</v>
      </c>
      <c r="G16" s="2" t="s">
        <v>163</v>
      </c>
      <c r="H16" s="2" t="s">
        <v>213</v>
      </c>
      <c r="I16" s="2" t="s">
        <v>263</v>
      </c>
      <c r="J16" s="2" t="s">
        <v>313</v>
      </c>
      <c r="K16" s="2" t="s">
        <v>134</v>
      </c>
      <c r="L16" s="2" t="s">
        <v>353</v>
      </c>
      <c r="M16" s="2" t="s">
        <v>363</v>
      </c>
      <c r="N16" s="2" t="s">
        <v>371</v>
      </c>
      <c r="O16" s="2" t="s">
        <v>374</v>
      </c>
      <c r="P16" s="2" t="s">
        <v>376</v>
      </c>
      <c r="Q16" s="4">
        <v>3000</v>
      </c>
      <c r="R16" s="3">
        <v>45301</v>
      </c>
      <c r="S16" s="2" t="s">
        <v>378</v>
      </c>
    </row>
    <row r="17" spans="1:19" x14ac:dyDescent="0.25">
      <c r="A17" s="2">
        <v>14</v>
      </c>
      <c r="B17" s="2" t="s">
        <v>33</v>
      </c>
      <c r="C17" s="2" t="s">
        <v>83</v>
      </c>
      <c r="D17" s="3">
        <v>35325</v>
      </c>
      <c r="E17" s="2">
        <v>29</v>
      </c>
      <c r="F17" s="2" t="s">
        <v>121</v>
      </c>
      <c r="G17" s="2" t="s">
        <v>164</v>
      </c>
      <c r="H17" s="2" t="s">
        <v>214</v>
      </c>
      <c r="I17" s="2" t="s">
        <v>264</v>
      </c>
      <c r="J17" s="2" t="s">
        <v>314</v>
      </c>
      <c r="K17" s="2" t="s">
        <v>135</v>
      </c>
      <c r="L17" s="2" t="s">
        <v>354</v>
      </c>
      <c r="M17" s="2" t="s">
        <v>364</v>
      </c>
      <c r="N17" s="2" t="s">
        <v>371</v>
      </c>
      <c r="O17" s="2" t="s">
        <v>375</v>
      </c>
      <c r="P17" s="2" t="s">
        <v>376</v>
      </c>
      <c r="Q17" s="4">
        <v>2800</v>
      </c>
      <c r="R17" s="3">
        <v>45336</v>
      </c>
      <c r="S17" s="2" t="s">
        <v>378</v>
      </c>
    </row>
    <row r="18" spans="1:19" x14ac:dyDescent="0.25">
      <c r="A18" s="2">
        <v>15</v>
      </c>
      <c r="B18" s="2" t="s">
        <v>34</v>
      </c>
      <c r="C18" s="2" t="s">
        <v>84</v>
      </c>
      <c r="D18" s="3">
        <v>36904</v>
      </c>
      <c r="E18" s="2">
        <v>24</v>
      </c>
      <c r="F18" s="2" t="s">
        <v>120</v>
      </c>
      <c r="G18" s="2" t="s">
        <v>165</v>
      </c>
      <c r="H18" s="2" t="s">
        <v>215</v>
      </c>
      <c r="I18" s="2" t="s">
        <v>265</v>
      </c>
      <c r="J18" s="2" t="s">
        <v>315</v>
      </c>
      <c r="K18" s="2" t="s">
        <v>136</v>
      </c>
      <c r="L18" s="2" t="s">
        <v>355</v>
      </c>
      <c r="M18" s="2" t="s">
        <v>365</v>
      </c>
      <c r="N18" s="2" t="s">
        <v>371</v>
      </c>
      <c r="O18" s="2" t="s">
        <v>374</v>
      </c>
      <c r="P18" s="2" t="s">
        <v>376</v>
      </c>
      <c r="Q18" s="4">
        <v>2600</v>
      </c>
      <c r="R18" s="3">
        <v>45371</v>
      </c>
      <c r="S18" s="2" t="s">
        <v>378</v>
      </c>
    </row>
    <row r="19" spans="1:19" x14ac:dyDescent="0.25">
      <c r="A19" s="2">
        <v>16</v>
      </c>
      <c r="B19" s="2" t="s">
        <v>35</v>
      </c>
      <c r="C19" s="2" t="s">
        <v>85</v>
      </c>
      <c r="D19" s="3">
        <v>35762</v>
      </c>
      <c r="E19" s="2">
        <v>28</v>
      </c>
      <c r="F19" s="2" t="s">
        <v>121</v>
      </c>
      <c r="G19" s="2" t="s">
        <v>166</v>
      </c>
      <c r="H19" s="2" t="s">
        <v>216</v>
      </c>
      <c r="I19" s="2" t="s">
        <v>266</v>
      </c>
      <c r="J19" s="2" t="s">
        <v>316</v>
      </c>
      <c r="K19" s="2" t="s">
        <v>137</v>
      </c>
      <c r="L19" s="2" t="s">
        <v>356</v>
      </c>
      <c r="M19" s="2" t="s">
        <v>366</v>
      </c>
      <c r="N19" s="2" t="s">
        <v>373</v>
      </c>
      <c r="O19" s="2" t="s">
        <v>374</v>
      </c>
      <c r="P19" s="2" t="s">
        <v>376</v>
      </c>
      <c r="Q19" s="4">
        <v>1900</v>
      </c>
      <c r="R19" s="3">
        <v>45383</v>
      </c>
      <c r="S19" s="2" t="s">
        <v>378</v>
      </c>
    </row>
    <row r="20" spans="1:19" x14ac:dyDescent="0.25">
      <c r="A20" s="2">
        <v>17</v>
      </c>
      <c r="B20" s="2" t="s">
        <v>36</v>
      </c>
      <c r="C20" s="2" t="s">
        <v>86</v>
      </c>
      <c r="D20" s="3">
        <v>36256</v>
      </c>
      <c r="E20" s="2">
        <v>26</v>
      </c>
      <c r="F20" s="2" t="s">
        <v>120</v>
      </c>
      <c r="G20" s="2" t="s">
        <v>167</v>
      </c>
      <c r="H20" s="2" t="s">
        <v>217</v>
      </c>
      <c r="I20" s="2" t="s">
        <v>267</v>
      </c>
      <c r="J20" s="2" t="s">
        <v>317</v>
      </c>
      <c r="K20" s="2" t="s">
        <v>138</v>
      </c>
      <c r="L20" s="2" t="s">
        <v>357</v>
      </c>
      <c r="M20" s="2" t="s">
        <v>367</v>
      </c>
      <c r="N20" s="2" t="s">
        <v>371</v>
      </c>
      <c r="O20" s="2" t="s">
        <v>375</v>
      </c>
      <c r="P20" s="2" t="s">
        <v>376</v>
      </c>
      <c r="Q20" s="4">
        <v>3100</v>
      </c>
      <c r="R20" s="3">
        <v>45427</v>
      </c>
      <c r="S20" s="2" t="s">
        <v>378</v>
      </c>
    </row>
    <row r="21" spans="1:19" x14ac:dyDescent="0.25">
      <c r="A21" s="2">
        <v>18</v>
      </c>
      <c r="B21" s="2" t="s">
        <v>37</v>
      </c>
      <c r="C21" s="2" t="s">
        <v>87</v>
      </c>
      <c r="D21" s="3">
        <v>35048</v>
      </c>
      <c r="E21" s="2">
        <v>30</v>
      </c>
      <c r="F21" s="2" t="s">
        <v>121</v>
      </c>
      <c r="G21" s="2" t="s">
        <v>168</v>
      </c>
      <c r="H21" s="2" t="s">
        <v>218</v>
      </c>
      <c r="I21" s="2" t="s">
        <v>268</v>
      </c>
      <c r="J21" s="2" t="s">
        <v>318</v>
      </c>
      <c r="K21" s="2" t="s">
        <v>139</v>
      </c>
      <c r="L21" s="2" t="s">
        <v>358</v>
      </c>
      <c r="M21" s="2" t="s">
        <v>368</v>
      </c>
      <c r="N21" s="2" t="s">
        <v>371</v>
      </c>
      <c r="O21" s="2" t="s">
        <v>374</v>
      </c>
      <c r="P21" s="2" t="s">
        <v>376</v>
      </c>
      <c r="Q21" s="4">
        <v>2300</v>
      </c>
      <c r="R21" s="3">
        <v>45473</v>
      </c>
      <c r="S21" s="2" t="s">
        <v>378</v>
      </c>
    </row>
    <row r="22" spans="1:19" x14ac:dyDescent="0.25">
      <c r="A22" s="2">
        <v>19</v>
      </c>
      <c r="B22" s="2" t="s">
        <v>38</v>
      </c>
      <c r="C22" s="2" t="s">
        <v>88</v>
      </c>
      <c r="D22" s="3">
        <v>37533</v>
      </c>
      <c r="E22" s="2">
        <v>23</v>
      </c>
      <c r="F22" s="2" t="s">
        <v>120</v>
      </c>
      <c r="G22" s="2" t="s">
        <v>169</v>
      </c>
      <c r="H22" s="2" t="s">
        <v>219</v>
      </c>
      <c r="I22" s="2" t="s">
        <v>269</v>
      </c>
      <c r="J22" s="2" t="s">
        <v>319</v>
      </c>
      <c r="K22" s="2" t="s">
        <v>140</v>
      </c>
      <c r="L22" s="2" t="s">
        <v>359</v>
      </c>
      <c r="M22" s="2" t="s">
        <v>369</v>
      </c>
      <c r="N22" s="2" t="s">
        <v>372</v>
      </c>
      <c r="O22" s="2" t="s">
        <v>374</v>
      </c>
      <c r="P22" s="2" t="s">
        <v>377</v>
      </c>
      <c r="Q22" s="4">
        <v>1400</v>
      </c>
      <c r="R22" s="3">
        <v>45485</v>
      </c>
      <c r="S22" s="2" t="s">
        <v>378</v>
      </c>
    </row>
    <row r="23" spans="1:19" x14ac:dyDescent="0.25">
      <c r="A23" s="2">
        <v>20</v>
      </c>
      <c r="B23" s="2" t="s">
        <v>39</v>
      </c>
      <c r="C23" s="2" t="s">
        <v>89</v>
      </c>
      <c r="D23" s="3">
        <v>34524</v>
      </c>
      <c r="E23" s="2">
        <v>31</v>
      </c>
      <c r="F23" s="2" t="s">
        <v>121</v>
      </c>
      <c r="G23" s="2" t="s">
        <v>170</v>
      </c>
      <c r="H23" s="2" t="s">
        <v>220</v>
      </c>
      <c r="I23" s="2" t="s">
        <v>270</v>
      </c>
      <c r="J23" s="2" t="s">
        <v>320</v>
      </c>
      <c r="K23" s="2" t="s">
        <v>141</v>
      </c>
      <c r="L23" s="2" t="s">
        <v>360</v>
      </c>
      <c r="M23" s="2" t="s">
        <v>370</v>
      </c>
      <c r="N23" s="2" t="s">
        <v>371</v>
      </c>
      <c r="O23" s="2" t="s">
        <v>375</v>
      </c>
      <c r="P23" s="2" t="s">
        <v>376</v>
      </c>
      <c r="Q23" s="4">
        <v>2700</v>
      </c>
      <c r="R23" s="3">
        <v>45526</v>
      </c>
      <c r="S23" s="2" t="s">
        <v>378</v>
      </c>
    </row>
    <row r="24" spans="1:19" x14ac:dyDescent="0.25">
      <c r="A24" s="2">
        <v>21</v>
      </c>
      <c r="B24" s="2" t="s">
        <v>40</v>
      </c>
      <c r="C24" s="2" t="s">
        <v>90</v>
      </c>
      <c r="D24" s="3">
        <v>36680</v>
      </c>
      <c r="E24" s="2">
        <v>25</v>
      </c>
      <c r="F24" s="2" t="s">
        <v>120</v>
      </c>
      <c r="G24" s="2" t="s">
        <v>171</v>
      </c>
      <c r="H24" s="2" t="s">
        <v>221</v>
      </c>
      <c r="I24" s="2" t="s">
        <v>271</v>
      </c>
      <c r="J24" s="2" t="s">
        <v>321</v>
      </c>
      <c r="K24" s="2" t="s">
        <v>142</v>
      </c>
      <c r="L24" s="2" t="s">
        <v>351</v>
      </c>
      <c r="M24" s="2" t="s">
        <v>361</v>
      </c>
      <c r="N24" s="2" t="s">
        <v>371</v>
      </c>
      <c r="O24" s="2" t="s">
        <v>374</v>
      </c>
      <c r="P24" s="2" t="s">
        <v>376</v>
      </c>
      <c r="Q24" s="4">
        <v>2000</v>
      </c>
      <c r="R24" s="3">
        <v>45545</v>
      </c>
      <c r="S24" s="2" t="s">
        <v>378</v>
      </c>
    </row>
    <row r="25" spans="1:19" x14ac:dyDescent="0.25">
      <c r="A25" s="2">
        <v>22</v>
      </c>
      <c r="B25" s="2" t="s">
        <v>41</v>
      </c>
      <c r="C25" s="2" t="s">
        <v>91</v>
      </c>
      <c r="D25" s="3">
        <v>35653</v>
      </c>
      <c r="E25" s="2">
        <v>28</v>
      </c>
      <c r="F25" s="2" t="s">
        <v>121</v>
      </c>
      <c r="G25" s="2" t="s">
        <v>172</v>
      </c>
      <c r="H25" s="2" t="s">
        <v>222</v>
      </c>
      <c r="I25" s="2" t="s">
        <v>272</v>
      </c>
      <c r="J25" s="2" t="s">
        <v>322</v>
      </c>
      <c r="K25" s="2" t="s">
        <v>143</v>
      </c>
      <c r="L25" s="2" t="s">
        <v>352</v>
      </c>
      <c r="M25" s="2" t="s">
        <v>362</v>
      </c>
      <c r="N25" s="2" t="s">
        <v>371</v>
      </c>
      <c r="O25" s="2" t="s">
        <v>374</v>
      </c>
      <c r="P25" s="2" t="s">
        <v>376</v>
      </c>
      <c r="Q25" s="4">
        <v>2900</v>
      </c>
      <c r="R25" s="3">
        <v>45570</v>
      </c>
      <c r="S25" s="2" t="s">
        <v>378</v>
      </c>
    </row>
    <row r="26" spans="1:19" x14ac:dyDescent="0.25">
      <c r="A26" s="2">
        <v>23</v>
      </c>
      <c r="B26" s="2" t="s">
        <v>42</v>
      </c>
      <c r="C26" s="2" t="s">
        <v>92</v>
      </c>
      <c r="D26" s="3">
        <v>35084</v>
      </c>
      <c r="E26" s="2">
        <v>29</v>
      </c>
      <c r="F26" s="2" t="s">
        <v>120</v>
      </c>
      <c r="G26" s="2" t="s">
        <v>173</v>
      </c>
      <c r="H26" s="2" t="s">
        <v>223</v>
      </c>
      <c r="I26" s="2" t="s">
        <v>273</v>
      </c>
      <c r="J26" s="2" t="s">
        <v>323</v>
      </c>
      <c r="K26" s="2" t="s">
        <v>124</v>
      </c>
      <c r="L26" s="2" t="s">
        <v>353</v>
      </c>
      <c r="M26" s="2" t="s">
        <v>363</v>
      </c>
      <c r="N26" s="2" t="s">
        <v>373</v>
      </c>
      <c r="O26" s="2" t="s">
        <v>375</v>
      </c>
      <c r="P26" s="2" t="s">
        <v>376</v>
      </c>
      <c r="Q26" s="4">
        <v>2100</v>
      </c>
      <c r="R26" s="3">
        <v>45614</v>
      </c>
      <c r="S26" s="2" t="s">
        <v>378</v>
      </c>
    </row>
    <row r="27" spans="1:19" x14ac:dyDescent="0.25">
      <c r="A27" s="2">
        <v>24</v>
      </c>
      <c r="B27" s="2" t="s">
        <v>43</v>
      </c>
      <c r="C27" s="2" t="s">
        <v>93</v>
      </c>
      <c r="D27" s="3">
        <v>35881</v>
      </c>
      <c r="E27" s="2">
        <v>27</v>
      </c>
      <c r="F27" s="2" t="s">
        <v>121</v>
      </c>
      <c r="G27" s="2" t="s">
        <v>174</v>
      </c>
      <c r="H27" s="2" t="s">
        <v>224</v>
      </c>
      <c r="I27" s="2" t="s">
        <v>274</v>
      </c>
      <c r="J27" s="2" t="s">
        <v>324</v>
      </c>
      <c r="K27" s="2" t="s">
        <v>144</v>
      </c>
      <c r="L27" s="2" t="s">
        <v>354</v>
      </c>
      <c r="M27" s="2" t="s">
        <v>364</v>
      </c>
      <c r="N27" s="2" t="s">
        <v>371</v>
      </c>
      <c r="O27" s="2" t="s">
        <v>374</v>
      </c>
      <c r="P27" s="2" t="s">
        <v>376</v>
      </c>
      <c r="Q27" s="4">
        <v>1800</v>
      </c>
      <c r="R27" s="3">
        <v>45646</v>
      </c>
      <c r="S27" s="2" t="s">
        <v>378</v>
      </c>
    </row>
    <row r="28" spans="1:19" x14ac:dyDescent="0.25">
      <c r="A28" s="2">
        <v>25</v>
      </c>
      <c r="B28" s="2" t="s">
        <v>44</v>
      </c>
      <c r="C28" s="2" t="s">
        <v>94</v>
      </c>
      <c r="D28" s="3">
        <v>37148</v>
      </c>
      <c r="E28" s="2">
        <v>24</v>
      </c>
      <c r="F28" s="2" t="s">
        <v>120</v>
      </c>
      <c r="G28" s="2" t="s">
        <v>175</v>
      </c>
      <c r="H28" s="2" t="s">
        <v>225</v>
      </c>
      <c r="I28" s="2" t="s">
        <v>275</v>
      </c>
      <c r="J28" s="2" t="s">
        <v>325</v>
      </c>
      <c r="K28" s="2" t="s">
        <v>145</v>
      </c>
      <c r="L28" s="2" t="s">
        <v>355</v>
      </c>
      <c r="M28" s="2" t="s">
        <v>365</v>
      </c>
      <c r="N28" s="2" t="s">
        <v>371</v>
      </c>
      <c r="O28" s="2" t="s">
        <v>374</v>
      </c>
      <c r="P28" s="2" t="s">
        <v>376</v>
      </c>
      <c r="Q28" s="4">
        <v>3300</v>
      </c>
      <c r="R28" s="3">
        <v>45665</v>
      </c>
      <c r="S28" s="2" t="s">
        <v>378</v>
      </c>
    </row>
    <row r="29" spans="1:19" x14ac:dyDescent="0.25">
      <c r="A29" s="2">
        <v>26</v>
      </c>
      <c r="B29" s="2" t="s">
        <v>45</v>
      </c>
      <c r="C29" s="2" t="s">
        <v>95</v>
      </c>
      <c r="D29" s="3">
        <v>34824</v>
      </c>
      <c r="E29" s="2">
        <v>30</v>
      </c>
      <c r="F29" s="2" t="s">
        <v>121</v>
      </c>
      <c r="G29" s="2" t="s">
        <v>176</v>
      </c>
      <c r="H29" s="2" t="s">
        <v>226</v>
      </c>
      <c r="I29" s="2" t="s">
        <v>276</v>
      </c>
      <c r="J29" s="2" t="s">
        <v>326</v>
      </c>
      <c r="K29" s="2" t="s">
        <v>134</v>
      </c>
      <c r="L29" s="2" t="s">
        <v>356</v>
      </c>
      <c r="M29" s="2" t="s">
        <v>366</v>
      </c>
      <c r="N29" s="2" t="s">
        <v>372</v>
      </c>
      <c r="O29" s="2" t="s">
        <v>375</v>
      </c>
      <c r="P29" s="2" t="s">
        <v>377</v>
      </c>
      <c r="Q29" s="4">
        <v>1500</v>
      </c>
      <c r="R29" s="3">
        <v>45702</v>
      </c>
      <c r="S29" s="2" t="s">
        <v>378</v>
      </c>
    </row>
    <row r="30" spans="1:19" x14ac:dyDescent="0.25">
      <c r="A30" s="2">
        <v>27</v>
      </c>
      <c r="B30" s="2" t="s">
        <v>46</v>
      </c>
      <c r="C30" s="2" t="s">
        <v>96</v>
      </c>
      <c r="D30" s="3">
        <v>36209</v>
      </c>
      <c r="E30" s="2">
        <v>26</v>
      </c>
      <c r="F30" s="2" t="s">
        <v>120</v>
      </c>
      <c r="G30" s="2" t="s">
        <v>177</v>
      </c>
      <c r="H30" s="2" t="s">
        <v>227</v>
      </c>
      <c r="I30" s="2" t="s">
        <v>277</v>
      </c>
      <c r="J30" s="2" t="s">
        <v>327</v>
      </c>
      <c r="K30" s="2" t="s">
        <v>130</v>
      </c>
      <c r="L30" s="2" t="s">
        <v>357</v>
      </c>
      <c r="M30" s="2" t="s">
        <v>367</v>
      </c>
      <c r="N30" s="2" t="s">
        <v>371</v>
      </c>
      <c r="O30" s="2" t="s">
        <v>374</v>
      </c>
      <c r="P30" s="2" t="s">
        <v>376</v>
      </c>
      <c r="Q30" s="4">
        <v>3400</v>
      </c>
      <c r="R30" s="3">
        <v>45737</v>
      </c>
      <c r="S30" s="2" t="s">
        <v>378</v>
      </c>
    </row>
    <row r="31" spans="1:19" x14ac:dyDescent="0.25">
      <c r="A31" s="2">
        <v>28</v>
      </c>
      <c r="B31" s="2" t="s">
        <v>47</v>
      </c>
      <c r="C31" s="2" t="s">
        <v>97</v>
      </c>
      <c r="D31" s="3">
        <v>34172</v>
      </c>
      <c r="E31" s="2">
        <v>32</v>
      </c>
      <c r="F31" s="2" t="s">
        <v>121</v>
      </c>
      <c r="G31" s="2" t="s">
        <v>178</v>
      </c>
      <c r="H31" s="2" t="s">
        <v>228</v>
      </c>
      <c r="I31" s="2" t="s">
        <v>278</v>
      </c>
      <c r="J31" s="2" t="s">
        <v>328</v>
      </c>
      <c r="K31" s="2" t="s">
        <v>146</v>
      </c>
      <c r="L31" s="2" t="s">
        <v>358</v>
      </c>
      <c r="M31" s="2" t="s">
        <v>368</v>
      </c>
      <c r="N31" s="2" t="s">
        <v>371</v>
      </c>
      <c r="O31" s="2" t="s">
        <v>374</v>
      </c>
      <c r="P31" s="2" t="s">
        <v>376</v>
      </c>
      <c r="Q31" s="4">
        <v>2200</v>
      </c>
      <c r="R31" s="3">
        <v>45749</v>
      </c>
      <c r="S31" s="2" t="s">
        <v>378</v>
      </c>
    </row>
    <row r="32" spans="1:19" x14ac:dyDescent="0.25">
      <c r="A32" s="2">
        <v>29</v>
      </c>
      <c r="B32" s="2" t="s">
        <v>48</v>
      </c>
      <c r="C32" s="2" t="s">
        <v>98</v>
      </c>
      <c r="D32" s="3">
        <v>36829</v>
      </c>
      <c r="E32" s="2">
        <v>25</v>
      </c>
      <c r="F32" s="2" t="s">
        <v>120</v>
      </c>
      <c r="G32" s="2" t="s">
        <v>179</v>
      </c>
      <c r="H32" s="2" t="s">
        <v>229</v>
      </c>
      <c r="I32" s="2" t="s">
        <v>279</v>
      </c>
      <c r="J32" s="2" t="s">
        <v>329</v>
      </c>
      <c r="K32" s="2" t="s">
        <v>123</v>
      </c>
      <c r="L32" s="2" t="s">
        <v>359</v>
      </c>
      <c r="M32" s="2" t="s">
        <v>369</v>
      </c>
      <c r="N32" s="2" t="s">
        <v>371</v>
      </c>
      <c r="O32" s="2" t="s">
        <v>375</v>
      </c>
      <c r="P32" s="2" t="s">
        <v>376</v>
      </c>
      <c r="Q32" s="4">
        <v>1900</v>
      </c>
      <c r="R32" s="3">
        <v>45792</v>
      </c>
      <c r="S32" s="2" t="s">
        <v>378</v>
      </c>
    </row>
    <row r="33" spans="1:19" x14ac:dyDescent="0.25">
      <c r="A33" s="2">
        <v>30</v>
      </c>
      <c r="B33" s="2" t="s">
        <v>49</v>
      </c>
      <c r="C33" s="2" t="s">
        <v>99</v>
      </c>
      <c r="D33" s="3">
        <v>35776</v>
      </c>
      <c r="E33" s="2">
        <v>28</v>
      </c>
      <c r="F33" s="2" t="s">
        <v>121</v>
      </c>
      <c r="G33" s="2" t="s">
        <v>180</v>
      </c>
      <c r="H33" s="2" t="s">
        <v>230</v>
      </c>
      <c r="I33" s="2" t="s">
        <v>280</v>
      </c>
      <c r="J33" s="2" t="s">
        <v>330</v>
      </c>
      <c r="K33" s="2" t="s">
        <v>132</v>
      </c>
      <c r="L33" s="2" t="s">
        <v>360</v>
      </c>
      <c r="M33" s="2" t="s">
        <v>370</v>
      </c>
      <c r="N33" s="2" t="s">
        <v>373</v>
      </c>
      <c r="O33" s="2" t="s">
        <v>374</v>
      </c>
      <c r="P33" s="2" t="s">
        <v>376</v>
      </c>
      <c r="Q33" s="4">
        <v>2100</v>
      </c>
      <c r="R33" s="3">
        <v>45838</v>
      </c>
      <c r="S33" s="2" t="s">
        <v>378</v>
      </c>
    </row>
    <row r="34" spans="1:19" x14ac:dyDescent="0.25">
      <c r="A34" s="2">
        <v>31</v>
      </c>
      <c r="B34" s="2" t="s">
        <v>50</v>
      </c>
      <c r="C34" s="2" t="s">
        <v>100</v>
      </c>
      <c r="D34" s="3">
        <v>35133</v>
      </c>
      <c r="E34" s="2">
        <v>29</v>
      </c>
      <c r="F34" s="2" t="s">
        <v>120</v>
      </c>
      <c r="G34" s="2" t="s">
        <v>181</v>
      </c>
      <c r="H34" s="2" t="s">
        <v>231</v>
      </c>
      <c r="I34" s="2" t="s">
        <v>281</v>
      </c>
      <c r="J34" s="2" t="s">
        <v>331</v>
      </c>
      <c r="K34" s="2" t="s">
        <v>147</v>
      </c>
      <c r="L34" s="2" t="s">
        <v>351</v>
      </c>
      <c r="M34" s="2" t="s">
        <v>361</v>
      </c>
      <c r="N34" s="2" t="s">
        <v>371</v>
      </c>
      <c r="O34" s="2" t="s">
        <v>374</v>
      </c>
      <c r="P34" s="2" t="s">
        <v>376</v>
      </c>
      <c r="Q34" s="4">
        <v>2600</v>
      </c>
      <c r="R34" s="3">
        <v>45848</v>
      </c>
      <c r="S34" s="2" t="s">
        <v>378</v>
      </c>
    </row>
    <row r="35" spans="1:19" x14ac:dyDescent="0.25">
      <c r="A35" s="2">
        <v>32</v>
      </c>
      <c r="B35" s="2" t="s">
        <v>51</v>
      </c>
      <c r="C35" s="2" t="s">
        <v>101</v>
      </c>
      <c r="D35" s="3">
        <v>35962</v>
      </c>
      <c r="E35" s="2">
        <v>27</v>
      </c>
      <c r="F35" s="2" t="s">
        <v>121</v>
      </c>
      <c r="G35" s="2" t="s">
        <v>182</v>
      </c>
      <c r="H35" s="2" t="s">
        <v>232</v>
      </c>
      <c r="I35" s="2" t="s">
        <v>282</v>
      </c>
      <c r="J35" s="2" t="s">
        <v>332</v>
      </c>
      <c r="K35" s="2" t="s">
        <v>136</v>
      </c>
      <c r="L35" s="2" t="s">
        <v>352</v>
      </c>
      <c r="M35" s="2" t="s">
        <v>362</v>
      </c>
      <c r="N35" s="2" t="s">
        <v>371</v>
      </c>
      <c r="O35" s="2" t="s">
        <v>375</v>
      </c>
      <c r="P35" s="2" t="s">
        <v>377</v>
      </c>
      <c r="Q35" s="4">
        <v>1400</v>
      </c>
      <c r="R35" s="3">
        <v>45891</v>
      </c>
      <c r="S35" s="2" t="s">
        <v>378</v>
      </c>
    </row>
    <row r="36" spans="1:19" x14ac:dyDescent="0.25">
      <c r="A36" s="2">
        <v>33</v>
      </c>
      <c r="B36" s="2" t="s">
        <v>52</v>
      </c>
      <c r="C36" s="2" t="s">
        <v>102</v>
      </c>
      <c r="D36" s="3">
        <v>37257</v>
      </c>
      <c r="E36" s="2">
        <v>23</v>
      </c>
      <c r="F36" s="2" t="s">
        <v>120</v>
      </c>
      <c r="G36" s="2" t="s">
        <v>183</v>
      </c>
      <c r="H36" s="2" t="s">
        <v>233</v>
      </c>
      <c r="I36" s="2" t="s">
        <v>283</v>
      </c>
      <c r="J36" s="2" t="s">
        <v>333</v>
      </c>
      <c r="K36" s="2" t="s">
        <v>126</v>
      </c>
      <c r="L36" s="2" t="s">
        <v>353</v>
      </c>
      <c r="M36" s="2" t="s">
        <v>363</v>
      </c>
      <c r="N36" s="2" t="s">
        <v>372</v>
      </c>
      <c r="O36" s="2" t="s">
        <v>374</v>
      </c>
      <c r="P36" s="2" t="s">
        <v>376</v>
      </c>
      <c r="Q36" s="4">
        <v>2800</v>
      </c>
      <c r="R36" s="3">
        <v>45905</v>
      </c>
      <c r="S36" s="2" t="s">
        <v>378</v>
      </c>
    </row>
    <row r="37" spans="1:19" x14ac:dyDescent="0.25">
      <c r="A37" s="2">
        <v>34</v>
      </c>
      <c r="B37" s="2" t="s">
        <v>53</v>
      </c>
      <c r="C37" s="2" t="s">
        <v>103</v>
      </c>
      <c r="D37" s="3">
        <v>34432</v>
      </c>
      <c r="E37" s="2">
        <v>31</v>
      </c>
      <c r="F37" s="2" t="s">
        <v>121</v>
      </c>
      <c r="G37" s="2" t="s">
        <v>184</v>
      </c>
      <c r="H37" s="2" t="s">
        <v>234</v>
      </c>
      <c r="I37" s="2" t="s">
        <v>284</v>
      </c>
      <c r="J37" s="2" t="s">
        <v>334</v>
      </c>
      <c r="K37" s="2" t="s">
        <v>148</v>
      </c>
      <c r="L37" s="2" t="s">
        <v>354</v>
      </c>
      <c r="M37" s="2" t="s">
        <v>364</v>
      </c>
      <c r="N37" s="2" t="s">
        <v>371</v>
      </c>
      <c r="O37" s="2" t="s">
        <v>374</v>
      </c>
      <c r="P37" s="2" t="s">
        <v>376</v>
      </c>
      <c r="Q37" s="4">
        <v>3000</v>
      </c>
      <c r="R37" s="3">
        <v>45948</v>
      </c>
      <c r="S37" s="2" t="s">
        <v>378</v>
      </c>
    </row>
    <row r="38" spans="1:19" x14ac:dyDescent="0.25">
      <c r="A38" s="2">
        <v>35</v>
      </c>
      <c r="B38" s="2" t="s">
        <v>54</v>
      </c>
      <c r="C38" s="2" t="s">
        <v>104</v>
      </c>
      <c r="D38" s="3">
        <v>36422</v>
      </c>
      <c r="E38" s="2">
        <v>26</v>
      </c>
      <c r="F38" s="2" t="s">
        <v>120</v>
      </c>
      <c r="G38" s="2" t="s">
        <v>185</v>
      </c>
      <c r="H38" s="2" t="s">
        <v>235</v>
      </c>
      <c r="I38" s="2" t="s">
        <v>285</v>
      </c>
      <c r="J38" s="2" t="s">
        <v>335</v>
      </c>
      <c r="K38" s="2" t="s">
        <v>124</v>
      </c>
      <c r="L38" s="2" t="s">
        <v>355</v>
      </c>
      <c r="M38" s="2" t="s">
        <v>365</v>
      </c>
      <c r="N38" s="2" t="s">
        <v>371</v>
      </c>
      <c r="O38" s="2" t="s">
        <v>375</v>
      </c>
      <c r="P38" s="2" t="s">
        <v>376</v>
      </c>
      <c r="Q38" s="4">
        <v>2300</v>
      </c>
      <c r="R38" s="3">
        <v>45986</v>
      </c>
      <c r="S38" s="2" t="s">
        <v>378</v>
      </c>
    </row>
    <row r="39" spans="1:19" x14ac:dyDescent="0.25">
      <c r="A39" s="2">
        <v>36</v>
      </c>
      <c r="B39" s="2" t="s">
        <v>55</v>
      </c>
      <c r="C39" s="2" t="s">
        <v>105</v>
      </c>
      <c r="D39" s="3">
        <v>35026</v>
      </c>
      <c r="E39" s="2">
        <v>30</v>
      </c>
      <c r="F39" s="2" t="s">
        <v>121</v>
      </c>
      <c r="G39" s="2" t="s">
        <v>186</v>
      </c>
      <c r="H39" s="2" t="s">
        <v>236</v>
      </c>
      <c r="I39" s="2" t="s">
        <v>286</v>
      </c>
      <c r="J39" s="2" t="s">
        <v>336</v>
      </c>
      <c r="K39" s="2" t="s">
        <v>122</v>
      </c>
      <c r="L39" s="2" t="s">
        <v>356</v>
      </c>
      <c r="M39" s="2" t="s">
        <v>366</v>
      </c>
      <c r="N39" s="2" t="s">
        <v>371</v>
      </c>
      <c r="O39" s="2" t="s">
        <v>374</v>
      </c>
      <c r="P39" s="2" t="s">
        <v>376</v>
      </c>
      <c r="Q39" s="4">
        <v>2000</v>
      </c>
      <c r="R39" s="3">
        <v>46001</v>
      </c>
      <c r="S39" s="2" t="s">
        <v>378</v>
      </c>
    </row>
    <row r="40" spans="1:19" x14ac:dyDescent="0.25">
      <c r="A40" s="2">
        <v>37</v>
      </c>
      <c r="B40" s="2" t="s">
        <v>56</v>
      </c>
      <c r="C40" s="2" t="s">
        <v>106</v>
      </c>
      <c r="D40" s="3">
        <v>37105</v>
      </c>
      <c r="E40" s="2">
        <v>24</v>
      </c>
      <c r="F40" s="2" t="s">
        <v>120</v>
      </c>
      <c r="G40" s="2" t="s">
        <v>187</v>
      </c>
      <c r="H40" s="2" t="s">
        <v>237</v>
      </c>
      <c r="I40" s="2" t="s">
        <v>287</v>
      </c>
      <c r="J40" s="2" t="s">
        <v>337</v>
      </c>
      <c r="K40" s="2" t="s">
        <v>131</v>
      </c>
      <c r="L40" s="2" t="s">
        <v>357</v>
      </c>
      <c r="M40" s="2" t="s">
        <v>367</v>
      </c>
      <c r="N40" s="2" t="s">
        <v>373</v>
      </c>
      <c r="O40" s="2" t="s">
        <v>374</v>
      </c>
      <c r="P40" s="2" t="s">
        <v>376</v>
      </c>
      <c r="Q40" s="4">
        <v>3100</v>
      </c>
      <c r="R40" s="3">
        <v>46030</v>
      </c>
      <c r="S40" s="2" t="s">
        <v>378</v>
      </c>
    </row>
    <row r="41" spans="1:19" x14ac:dyDescent="0.25">
      <c r="A41" s="2">
        <v>38</v>
      </c>
      <c r="B41" s="2" t="s">
        <v>57</v>
      </c>
      <c r="C41" s="2" t="s">
        <v>107</v>
      </c>
      <c r="D41" s="3">
        <v>35475</v>
      </c>
      <c r="E41" s="2">
        <v>28</v>
      </c>
      <c r="F41" s="2" t="s">
        <v>121</v>
      </c>
      <c r="G41" s="2" t="s">
        <v>188</v>
      </c>
      <c r="H41" s="2" t="s">
        <v>238</v>
      </c>
      <c r="I41" s="2" t="s">
        <v>288</v>
      </c>
      <c r="J41" s="2" t="s">
        <v>338</v>
      </c>
      <c r="K41" s="2" t="s">
        <v>149</v>
      </c>
      <c r="L41" s="2" t="s">
        <v>358</v>
      </c>
      <c r="M41" s="2" t="s">
        <v>368</v>
      </c>
      <c r="N41" s="2" t="s">
        <v>371</v>
      </c>
      <c r="O41" s="2" t="s">
        <v>375</v>
      </c>
      <c r="P41" s="2" t="s">
        <v>376</v>
      </c>
      <c r="Q41" s="4">
        <v>2400</v>
      </c>
      <c r="R41" s="3">
        <v>46068</v>
      </c>
      <c r="S41" s="2" t="s">
        <v>378</v>
      </c>
    </row>
    <row r="42" spans="1:19" x14ac:dyDescent="0.25">
      <c r="A42" s="2">
        <v>39</v>
      </c>
      <c r="B42" s="2" t="s">
        <v>58</v>
      </c>
      <c r="C42" s="2" t="s">
        <v>108</v>
      </c>
      <c r="D42" s="3">
        <v>35210</v>
      </c>
      <c r="E42" s="2">
        <v>29</v>
      </c>
      <c r="F42" s="2" t="s">
        <v>120</v>
      </c>
      <c r="G42" s="2" t="s">
        <v>189</v>
      </c>
      <c r="H42" s="2" t="s">
        <v>239</v>
      </c>
      <c r="I42" s="2" t="s">
        <v>289</v>
      </c>
      <c r="J42" s="2" t="s">
        <v>339</v>
      </c>
      <c r="K42" s="2" t="s">
        <v>139</v>
      </c>
      <c r="L42" s="2" t="s">
        <v>359</v>
      </c>
      <c r="M42" s="2" t="s">
        <v>369</v>
      </c>
      <c r="N42" s="2" t="s">
        <v>371</v>
      </c>
      <c r="O42" s="2" t="s">
        <v>374</v>
      </c>
      <c r="P42" s="2" t="s">
        <v>377</v>
      </c>
      <c r="Q42" s="4">
        <v>1300</v>
      </c>
      <c r="R42" s="3">
        <v>46101</v>
      </c>
      <c r="S42" s="2" t="s">
        <v>378</v>
      </c>
    </row>
    <row r="43" spans="1:19" x14ac:dyDescent="0.25">
      <c r="A43" s="2">
        <v>40</v>
      </c>
      <c r="B43" s="2" t="s">
        <v>59</v>
      </c>
      <c r="C43" s="2" t="s">
        <v>109</v>
      </c>
      <c r="D43" s="3">
        <v>37809</v>
      </c>
      <c r="E43" s="2">
        <v>22</v>
      </c>
      <c r="F43" s="2" t="s">
        <v>121</v>
      </c>
      <c r="G43" s="2" t="s">
        <v>190</v>
      </c>
      <c r="H43" s="2" t="s">
        <v>240</v>
      </c>
      <c r="I43" s="2" t="s">
        <v>290</v>
      </c>
      <c r="J43" s="2" t="s">
        <v>340</v>
      </c>
      <c r="K43" s="2" t="s">
        <v>127</v>
      </c>
      <c r="L43" s="2" t="s">
        <v>360</v>
      </c>
      <c r="M43" s="2" t="s">
        <v>370</v>
      </c>
      <c r="N43" s="2" t="s">
        <v>372</v>
      </c>
      <c r="O43" s="2" t="s">
        <v>374</v>
      </c>
      <c r="P43" s="2" t="s">
        <v>376</v>
      </c>
      <c r="Q43" s="4">
        <v>2700</v>
      </c>
      <c r="R43" s="3">
        <v>46113</v>
      </c>
      <c r="S43" s="2" t="s">
        <v>378</v>
      </c>
    </row>
    <row r="44" spans="1:19" x14ac:dyDescent="0.25">
      <c r="A44" s="2">
        <v>41</v>
      </c>
      <c r="B44" s="2" t="s">
        <v>60</v>
      </c>
      <c r="C44" s="2" t="s">
        <v>110</v>
      </c>
      <c r="D44" s="3">
        <v>35824</v>
      </c>
      <c r="E44" s="2">
        <v>27</v>
      </c>
      <c r="F44" s="2" t="s">
        <v>120</v>
      </c>
      <c r="G44" s="2" t="s">
        <v>191</v>
      </c>
      <c r="H44" s="2" t="s">
        <v>241</v>
      </c>
      <c r="I44" s="2" t="s">
        <v>291</v>
      </c>
      <c r="J44" s="2" t="s">
        <v>341</v>
      </c>
      <c r="K44" s="2" t="s">
        <v>150</v>
      </c>
      <c r="L44" s="2" t="s">
        <v>351</v>
      </c>
      <c r="M44" s="2" t="s">
        <v>361</v>
      </c>
      <c r="N44" s="2" t="s">
        <v>371</v>
      </c>
      <c r="O44" s="2" t="s">
        <v>375</v>
      </c>
      <c r="P44" s="2" t="s">
        <v>376</v>
      </c>
      <c r="Q44" s="4">
        <v>2100</v>
      </c>
      <c r="R44" s="3">
        <v>46154</v>
      </c>
      <c r="S44" s="2" t="s">
        <v>378</v>
      </c>
    </row>
    <row r="45" spans="1:19" x14ac:dyDescent="0.25">
      <c r="A45" s="2">
        <v>42</v>
      </c>
      <c r="B45" s="2" t="s">
        <v>61</v>
      </c>
      <c r="C45" s="2" t="s">
        <v>111</v>
      </c>
      <c r="D45" s="3">
        <v>34982</v>
      </c>
      <c r="E45" s="2">
        <v>30</v>
      </c>
      <c r="F45" s="2" t="s">
        <v>121</v>
      </c>
      <c r="G45" s="2" t="s">
        <v>192</v>
      </c>
      <c r="H45" s="2" t="s">
        <v>242</v>
      </c>
      <c r="I45" s="2" t="s">
        <v>292</v>
      </c>
      <c r="J45" s="2" t="s">
        <v>342</v>
      </c>
      <c r="K45" s="2" t="s">
        <v>134</v>
      </c>
      <c r="L45" s="2" t="s">
        <v>352</v>
      </c>
      <c r="M45" s="2" t="s">
        <v>362</v>
      </c>
      <c r="N45" s="2" t="s">
        <v>371</v>
      </c>
      <c r="O45" s="2" t="s">
        <v>374</v>
      </c>
      <c r="P45" s="2" t="s">
        <v>376</v>
      </c>
      <c r="Q45" s="4">
        <v>3200</v>
      </c>
      <c r="R45" s="3">
        <v>46195</v>
      </c>
      <c r="S45" s="2" t="s">
        <v>378</v>
      </c>
    </row>
    <row r="46" spans="1:19" x14ac:dyDescent="0.25">
      <c r="A46" s="2">
        <v>43</v>
      </c>
      <c r="B46" s="2" t="s">
        <v>62</v>
      </c>
      <c r="C46" s="2" t="s">
        <v>112</v>
      </c>
      <c r="D46" s="3">
        <v>36602</v>
      </c>
      <c r="E46" s="2">
        <v>25</v>
      </c>
      <c r="F46" s="2" t="s">
        <v>120</v>
      </c>
      <c r="G46" s="2" t="s">
        <v>193</v>
      </c>
      <c r="H46" s="2" t="s">
        <v>243</v>
      </c>
      <c r="I46" s="2" t="s">
        <v>293</v>
      </c>
      <c r="J46" s="2" t="s">
        <v>343</v>
      </c>
      <c r="K46" s="2" t="s">
        <v>124</v>
      </c>
      <c r="L46" s="2" t="s">
        <v>353</v>
      </c>
      <c r="M46" s="2" t="s">
        <v>363</v>
      </c>
      <c r="N46" s="2" t="s">
        <v>373</v>
      </c>
      <c r="O46" s="2" t="s">
        <v>374</v>
      </c>
      <c r="P46" s="2" t="s">
        <v>376</v>
      </c>
      <c r="Q46" s="4">
        <v>1800</v>
      </c>
      <c r="R46" s="3">
        <v>46208</v>
      </c>
      <c r="S46" s="2" t="s">
        <v>378</v>
      </c>
    </row>
    <row r="47" spans="1:19" x14ac:dyDescent="0.25">
      <c r="A47" s="2">
        <v>44</v>
      </c>
      <c r="B47" s="2" t="s">
        <v>63</v>
      </c>
      <c r="C47" s="2" t="s">
        <v>113</v>
      </c>
      <c r="D47" s="3">
        <v>34513</v>
      </c>
      <c r="E47" s="2">
        <v>31</v>
      </c>
      <c r="F47" s="2" t="s">
        <v>121</v>
      </c>
      <c r="G47" s="2" t="s">
        <v>194</v>
      </c>
      <c r="H47" s="2" t="s">
        <v>244</v>
      </c>
      <c r="I47" s="2" t="s">
        <v>294</v>
      </c>
      <c r="J47" s="2" t="s">
        <v>344</v>
      </c>
      <c r="K47" s="2" t="s">
        <v>133</v>
      </c>
      <c r="L47" s="2" t="s">
        <v>354</v>
      </c>
      <c r="M47" s="2" t="s">
        <v>364</v>
      </c>
      <c r="N47" s="2" t="s">
        <v>371</v>
      </c>
      <c r="O47" s="2" t="s">
        <v>375</v>
      </c>
      <c r="P47" s="2" t="s">
        <v>376</v>
      </c>
      <c r="Q47" s="4">
        <v>2900</v>
      </c>
      <c r="R47" s="3">
        <v>46252</v>
      </c>
      <c r="S47" s="2" t="s">
        <v>378</v>
      </c>
    </row>
    <row r="48" spans="1:19" x14ac:dyDescent="0.25">
      <c r="A48" s="2">
        <v>45</v>
      </c>
      <c r="B48" s="2" t="s">
        <v>64</v>
      </c>
      <c r="C48" s="2" t="s">
        <v>114</v>
      </c>
      <c r="D48" s="3">
        <v>36498</v>
      </c>
      <c r="E48" s="2">
        <v>26</v>
      </c>
      <c r="F48" s="2" t="s">
        <v>120</v>
      </c>
      <c r="G48" s="2" t="s">
        <v>195</v>
      </c>
      <c r="H48" s="2" t="s">
        <v>245</v>
      </c>
      <c r="I48" s="2" t="s">
        <v>295</v>
      </c>
      <c r="J48" s="2" t="s">
        <v>345</v>
      </c>
      <c r="K48" s="2" t="s">
        <v>136</v>
      </c>
      <c r="L48" s="2" t="s">
        <v>355</v>
      </c>
      <c r="M48" s="2" t="s">
        <v>365</v>
      </c>
      <c r="N48" s="2" t="s">
        <v>371</v>
      </c>
      <c r="O48" s="2" t="s">
        <v>374</v>
      </c>
      <c r="P48" s="2" t="s">
        <v>377</v>
      </c>
      <c r="Q48" s="4">
        <v>1500</v>
      </c>
      <c r="R48" s="3">
        <v>46295</v>
      </c>
      <c r="S48" s="2" t="s">
        <v>378</v>
      </c>
    </row>
    <row r="49" spans="1:19" x14ac:dyDescent="0.25">
      <c r="A49" s="2">
        <v>46</v>
      </c>
      <c r="B49" s="2" t="s">
        <v>65</v>
      </c>
      <c r="C49" s="2" t="s">
        <v>115</v>
      </c>
      <c r="D49" s="3">
        <v>35565</v>
      </c>
      <c r="E49" s="2">
        <v>28</v>
      </c>
      <c r="F49" s="2" t="s">
        <v>121</v>
      </c>
      <c r="G49" s="2" t="s">
        <v>196</v>
      </c>
      <c r="H49" s="2" t="s">
        <v>246</v>
      </c>
      <c r="I49" s="2" t="s">
        <v>296</v>
      </c>
      <c r="J49" s="2" t="s">
        <v>346</v>
      </c>
      <c r="K49" s="2" t="s">
        <v>142</v>
      </c>
      <c r="L49" s="2" t="s">
        <v>356</v>
      </c>
      <c r="M49" s="2" t="s">
        <v>366</v>
      </c>
      <c r="N49" s="2" t="s">
        <v>372</v>
      </c>
      <c r="O49" s="2" t="s">
        <v>374</v>
      </c>
      <c r="P49" s="2" t="s">
        <v>376</v>
      </c>
      <c r="Q49" s="4">
        <v>3400</v>
      </c>
      <c r="R49" s="3">
        <v>46305</v>
      </c>
      <c r="S49" s="2" t="s">
        <v>378</v>
      </c>
    </row>
    <row r="50" spans="1:19" x14ac:dyDescent="0.25">
      <c r="A50" s="2">
        <v>47</v>
      </c>
      <c r="B50" s="2" t="s">
        <v>66</v>
      </c>
      <c r="C50" s="2" t="s">
        <v>116</v>
      </c>
      <c r="D50" s="3">
        <v>35329</v>
      </c>
      <c r="E50" s="2">
        <v>29</v>
      </c>
      <c r="F50" s="2" t="s">
        <v>120</v>
      </c>
      <c r="G50" s="2" t="s">
        <v>197</v>
      </c>
      <c r="H50" s="2" t="s">
        <v>247</v>
      </c>
      <c r="I50" s="2" t="s">
        <v>297</v>
      </c>
      <c r="J50" s="2" t="s">
        <v>347</v>
      </c>
      <c r="K50" s="2" t="s">
        <v>141</v>
      </c>
      <c r="L50" s="2" t="s">
        <v>357</v>
      </c>
      <c r="M50" s="2" t="s">
        <v>367</v>
      </c>
      <c r="N50" s="2" t="s">
        <v>371</v>
      </c>
      <c r="O50" s="2" t="s">
        <v>375</v>
      </c>
      <c r="P50" s="2" t="s">
        <v>376</v>
      </c>
      <c r="Q50" s="4">
        <v>2500</v>
      </c>
      <c r="R50" s="3">
        <v>46331</v>
      </c>
      <c r="S50" s="2" t="s">
        <v>378</v>
      </c>
    </row>
    <row r="51" spans="1:19" x14ac:dyDescent="0.25">
      <c r="A51" s="2">
        <v>48</v>
      </c>
      <c r="B51" s="2" t="s">
        <v>67</v>
      </c>
      <c r="C51" s="2" t="s">
        <v>117</v>
      </c>
      <c r="D51" s="3">
        <v>37262</v>
      </c>
      <c r="E51" s="2">
        <v>23</v>
      </c>
      <c r="F51" s="2" t="s">
        <v>121</v>
      </c>
      <c r="G51" s="2" t="s">
        <v>198</v>
      </c>
      <c r="H51" s="2" t="s">
        <v>248</v>
      </c>
      <c r="I51" s="2" t="s">
        <v>298</v>
      </c>
      <c r="J51" s="2" t="s">
        <v>348</v>
      </c>
      <c r="K51" s="2" t="s">
        <v>144</v>
      </c>
      <c r="L51" s="2" t="s">
        <v>358</v>
      </c>
      <c r="M51" s="2" t="s">
        <v>368</v>
      </c>
      <c r="N51" s="2" t="s">
        <v>371</v>
      </c>
      <c r="O51" s="2" t="s">
        <v>374</v>
      </c>
      <c r="P51" s="2" t="s">
        <v>376</v>
      </c>
      <c r="Q51" s="4">
        <v>2000</v>
      </c>
      <c r="R51" s="3">
        <v>46374</v>
      </c>
      <c r="S51" s="2" t="s">
        <v>378</v>
      </c>
    </row>
    <row r="52" spans="1:19" x14ac:dyDescent="0.25">
      <c r="A52" s="2">
        <v>49</v>
      </c>
      <c r="B52" s="2" t="s">
        <v>68</v>
      </c>
      <c r="C52" s="2" t="s">
        <v>118</v>
      </c>
      <c r="D52" s="3">
        <v>36020</v>
      </c>
      <c r="E52" s="2">
        <v>27</v>
      </c>
      <c r="F52" s="2" t="s">
        <v>120</v>
      </c>
      <c r="G52" s="2" t="s">
        <v>199</v>
      </c>
      <c r="H52" s="2" t="s">
        <v>249</v>
      </c>
      <c r="I52" s="2" t="s">
        <v>299</v>
      </c>
      <c r="J52" s="2" t="s">
        <v>349</v>
      </c>
      <c r="K52" s="2" t="s">
        <v>129</v>
      </c>
      <c r="L52" s="2" t="s">
        <v>359</v>
      </c>
      <c r="M52" s="2" t="s">
        <v>369</v>
      </c>
      <c r="N52" s="2" t="s">
        <v>371</v>
      </c>
      <c r="O52" s="2" t="s">
        <v>374</v>
      </c>
      <c r="P52" s="2" t="s">
        <v>376</v>
      </c>
      <c r="Q52" s="4">
        <v>2600</v>
      </c>
      <c r="R52" s="3">
        <v>46407</v>
      </c>
      <c r="S52" s="2" t="s">
        <v>378</v>
      </c>
    </row>
    <row r="53" spans="1:19" x14ac:dyDescent="0.25">
      <c r="A53" s="2">
        <v>50</v>
      </c>
      <c r="B53" s="2" t="s">
        <v>69</v>
      </c>
      <c r="C53" s="2" t="s">
        <v>119</v>
      </c>
      <c r="D53" s="3">
        <v>34813</v>
      </c>
      <c r="E53" s="2">
        <v>30</v>
      </c>
      <c r="F53" s="2" t="s">
        <v>121</v>
      </c>
      <c r="G53" s="2" t="s">
        <v>200</v>
      </c>
      <c r="H53" s="2" t="s">
        <v>250</v>
      </c>
      <c r="I53" s="2" t="s">
        <v>300</v>
      </c>
      <c r="J53" s="2" t="s">
        <v>350</v>
      </c>
      <c r="K53" s="2" t="s">
        <v>130</v>
      </c>
      <c r="L53" s="2" t="s">
        <v>360</v>
      </c>
      <c r="M53" s="2" t="s">
        <v>370</v>
      </c>
      <c r="N53" s="2" t="s">
        <v>373</v>
      </c>
      <c r="O53" s="2" t="s">
        <v>375</v>
      </c>
      <c r="P53" s="2" t="s">
        <v>376</v>
      </c>
      <c r="Q53" s="4">
        <v>3000</v>
      </c>
      <c r="R53" s="3">
        <v>46433</v>
      </c>
      <c r="S53" s="2" t="s">
        <v>378</v>
      </c>
    </row>
    <row r="58" spans="1:19" x14ac:dyDescent="0.25">
      <c r="N58" s="12">
        <f>MAX(Q4:Q53)</f>
        <v>3500</v>
      </c>
      <c r="O58" t="str">
        <f>INDEX(B3:B53,MATCH(Q10,Q3:Q54,0))</f>
        <v>Gabriela Costa</v>
      </c>
    </row>
    <row r="59" spans="1:19" x14ac:dyDescent="0.25">
      <c r="N59" s="12">
        <f>MIN(Q4:Q54)</f>
        <v>1200</v>
      </c>
      <c r="O59" t="str">
        <f>INDEX(B3:B53,MATCH(Q9,Q3:Q53,0))</f>
        <v>Felipe Santos</v>
      </c>
    </row>
  </sheetData>
  <conditionalFormatting sqref="S1:S1048576">
    <cfRule type="cellIs" dxfId="0" priority="1" operator="equal">
      <formula>$S$4</formula>
    </cfRule>
  </conditionalFormatting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B837A-DCD4-48B9-8CD0-E45269B7D403}">
  <dimension ref="A1:K62"/>
  <sheetViews>
    <sheetView zoomScale="112" zoomScaleNormal="112" workbookViewId="0">
      <selection activeCell="A30" sqref="A30"/>
    </sheetView>
  </sheetViews>
  <sheetFormatPr defaultRowHeight="15" x14ac:dyDescent="0.25"/>
  <cols>
    <col min="1" max="1" width="21.5703125" bestFit="1" customWidth="1"/>
    <col min="2" max="2" width="19.5703125" customWidth="1"/>
    <col min="3" max="3" width="1" customWidth="1"/>
    <col min="4" max="4" width="28.7109375" customWidth="1"/>
    <col min="5" max="5" width="33.42578125" customWidth="1"/>
    <col min="6" max="6" width="2.7109375" customWidth="1"/>
    <col min="7" max="7" width="27" bestFit="1" customWidth="1"/>
    <col min="8" max="8" width="33" bestFit="1" customWidth="1"/>
    <col min="9" max="9" width="23.85546875" customWidth="1"/>
    <col min="10" max="10" width="14.7109375" bestFit="1" customWidth="1"/>
  </cols>
  <sheetData>
    <row r="1" spans="1:11" s="20" customFormat="1" ht="42.75" customHeight="1" x14ac:dyDescent="0.45">
      <c r="A1" s="20" t="s">
        <v>379</v>
      </c>
    </row>
    <row r="2" spans="1:11" s="8" customFormat="1" ht="11.25" customHeight="1" x14ac:dyDescent="0.25"/>
    <row r="3" spans="1:11" s="1" customFormat="1" ht="21" x14ac:dyDescent="0.35">
      <c r="A3" s="21" t="s">
        <v>381</v>
      </c>
      <c r="B3" s="21"/>
      <c r="D3" s="26" t="s">
        <v>380</v>
      </c>
      <c r="E3" s="26"/>
      <c r="G3" s="25" t="s">
        <v>385</v>
      </c>
      <c r="H3" s="25"/>
      <c r="I3" s="25"/>
      <c r="J3"/>
      <c r="K3"/>
    </row>
    <row r="4" spans="1:11" x14ac:dyDescent="0.25">
      <c r="A4" s="2" t="s">
        <v>383</v>
      </c>
      <c r="B4" s="2">
        <v>50</v>
      </c>
      <c r="D4" s="2" t="s">
        <v>382</v>
      </c>
      <c r="E4" s="2" t="s">
        <v>384</v>
      </c>
      <c r="G4" s="17" t="s">
        <v>382</v>
      </c>
      <c r="H4" s="17" t="s">
        <v>384</v>
      </c>
      <c r="I4" s="10" t="s">
        <v>386</v>
      </c>
    </row>
    <row r="5" spans="1:11" x14ac:dyDescent="0.25">
      <c r="D5" s="2">
        <v>50</v>
      </c>
      <c r="E5" s="9">
        <f>SUM(BASE_DADOS_RH!Q4:Q53)</f>
        <v>117400</v>
      </c>
      <c r="G5">
        <v>50</v>
      </c>
      <c r="H5" s="13">
        <v>117400</v>
      </c>
      <c r="I5" s="11">
        <f>H5/G5</f>
        <v>2348</v>
      </c>
    </row>
    <row r="6" spans="1:11" ht="21" x14ac:dyDescent="0.35">
      <c r="A6" s="23" t="s">
        <v>387</v>
      </c>
      <c r="B6" s="23"/>
      <c r="D6" s="24" t="s">
        <v>389</v>
      </c>
      <c r="E6" s="24"/>
      <c r="G6" s="27" t="s">
        <v>391</v>
      </c>
      <c r="H6" s="27"/>
      <c r="I6" s="27"/>
    </row>
    <row r="7" spans="1:11" x14ac:dyDescent="0.25">
      <c r="A7" s="2"/>
      <c r="B7" s="2" t="s">
        <v>390</v>
      </c>
      <c r="D7" s="2" t="s">
        <v>388</v>
      </c>
      <c r="E7" s="2" t="s">
        <v>390</v>
      </c>
      <c r="G7" s="14" t="s">
        <v>392</v>
      </c>
      <c r="H7" s="14" t="s">
        <v>393</v>
      </c>
      <c r="I7" s="14" t="s">
        <v>394</v>
      </c>
    </row>
    <row r="8" spans="1:11" x14ac:dyDescent="0.25">
      <c r="A8" s="2" t="s">
        <v>26</v>
      </c>
      <c r="B8" s="9">
        <v>3500</v>
      </c>
      <c r="D8" s="2" t="s">
        <v>25</v>
      </c>
      <c r="E8" s="9">
        <v>1200</v>
      </c>
      <c r="G8" s="14">
        <v>36</v>
      </c>
      <c r="H8" s="14">
        <v>7</v>
      </c>
      <c r="I8" s="14">
        <v>7</v>
      </c>
    </row>
    <row r="10" spans="1:11" ht="21" x14ac:dyDescent="0.35">
      <c r="A10" s="22" t="s">
        <v>414</v>
      </c>
      <c r="B10" s="22"/>
      <c r="C10" s="22"/>
      <c r="D10" s="22"/>
      <c r="E10" s="22"/>
      <c r="G10" s="28" t="s">
        <v>415</v>
      </c>
      <c r="H10" s="28"/>
      <c r="I10" s="28"/>
      <c r="J10" s="28"/>
    </row>
    <row r="11" spans="1:11" ht="15.75" x14ac:dyDescent="0.25">
      <c r="A11" s="29" t="s">
        <v>413</v>
      </c>
      <c r="B11" s="30" t="s">
        <v>395</v>
      </c>
      <c r="C11" s="31"/>
      <c r="D11" s="30" t="s">
        <v>396</v>
      </c>
      <c r="E11" s="30" t="s">
        <v>397</v>
      </c>
      <c r="G11" s="32" t="s">
        <v>416</v>
      </c>
      <c r="H11" s="32" t="s">
        <v>12</v>
      </c>
      <c r="I11" s="33" t="s">
        <v>428</v>
      </c>
      <c r="J11" s="33"/>
    </row>
    <row r="12" spans="1:11" x14ac:dyDescent="0.25">
      <c r="A12" s="2" t="s">
        <v>20</v>
      </c>
      <c r="B12" s="3">
        <v>44936</v>
      </c>
      <c r="D12" s="3">
        <f ca="1">TODAY()</f>
        <v>46074</v>
      </c>
      <c r="E12" s="16" t="s">
        <v>398</v>
      </c>
      <c r="G12" s="2" t="s">
        <v>122</v>
      </c>
      <c r="H12" s="2" t="s">
        <v>351</v>
      </c>
      <c r="I12" s="2" t="s">
        <v>417</v>
      </c>
      <c r="J12" s="2">
        <v>6</v>
      </c>
    </row>
    <row r="13" spans="1:11" x14ac:dyDescent="0.25">
      <c r="A13" s="2" t="s">
        <v>21</v>
      </c>
      <c r="B13" s="3">
        <v>44972</v>
      </c>
      <c r="D13" s="3">
        <f ca="1">TODAY()</f>
        <v>46074</v>
      </c>
      <c r="E13" s="16" t="s">
        <v>398</v>
      </c>
      <c r="G13" s="2" t="s">
        <v>123</v>
      </c>
      <c r="H13" s="2" t="s">
        <v>352</v>
      </c>
      <c r="I13" s="2" t="s">
        <v>418</v>
      </c>
      <c r="J13" s="2">
        <v>2</v>
      </c>
    </row>
    <row r="14" spans="1:11" x14ac:dyDescent="0.25">
      <c r="A14" s="2" t="s">
        <v>22</v>
      </c>
      <c r="B14" s="3">
        <v>45005</v>
      </c>
      <c r="D14" s="3">
        <f t="shared" ref="D14:D62" ca="1" si="0">TODAY()</f>
        <v>46074</v>
      </c>
      <c r="E14" s="16" t="s">
        <v>399</v>
      </c>
      <c r="G14" s="2" t="s">
        <v>124</v>
      </c>
      <c r="H14" s="2" t="s">
        <v>353</v>
      </c>
      <c r="I14" s="2" t="s">
        <v>419</v>
      </c>
      <c r="J14" s="2">
        <v>5</v>
      </c>
    </row>
    <row r="15" spans="1:11" x14ac:dyDescent="0.25">
      <c r="A15" s="2" t="s">
        <v>23</v>
      </c>
      <c r="B15" s="3">
        <v>45021</v>
      </c>
      <c r="D15" s="3">
        <f t="shared" ca="1" si="0"/>
        <v>46074</v>
      </c>
      <c r="E15" s="16" t="s">
        <v>399</v>
      </c>
      <c r="G15" s="2" t="s">
        <v>125</v>
      </c>
      <c r="H15" s="2" t="s">
        <v>351</v>
      </c>
      <c r="I15" s="2" t="s">
        <v>420</v>
      </c>
      <c r="J15" s="2">
        <v>5</v>
      </c>
    </row>
    <row r="16" spans="1:11" x14ac:dyDescent="0.25">
      <c r="A16" s="2" t="s">
        <v>24</v>
      </c>
      <c r="B16" s="3">
        <v>45064</v>
      </c>
      <c r="D16" s="3">
        <f t="shared" ca="1" si="0"/>
        <v>46074</v>
      </c>
      <c r="E16" s="16" t="s">
        <v>399</v>
      </c>
      <c r="G16" s="2" t="s">
        <v>127</v>
      </c>
      <c r="H16" s="2" t="s">
        <v>355</v>
      </c>
      <c r="I16" s="2" t="s">
        <v>421</v>
      </c>
      <c r="J16" s="2">
        <v>2</v>
      </c>
    </row>
    <row r="17" spans="1:10" x14ac:dyDescent="0.25">
      <c r="A17" s="2" t="s">
        <v>25</v>
      </c>
      <c r="B17" s="3">
        <v>45078</v>
      </c>
      <c r="D17" s="3">
        <f t="shared" ca="1" si="0"/>
        <v>46074</v>
      </c>
      <c r="E17" s="16" t="s">
        <v>399</v>
      </c>
      <c r="G17" s="2" t="s">
        <v>128</v>
      </c>
      <c r="H17" s="2" t="s">
        <v>356</v>
      </c>
      <c r="I17" s="2" t="s">
        <v>422</v>
      </c>
      <c r="J17" s="2">
        <v>1</v>
      </c>
    </row>
    <row r="18" spans="1:10" x14ac:dyDescent="0.25">
      <c r="A18" s="2" t="s">
        <v>26</v>
      </c>
      <c r="B18" s="3">
        <v>45119</v>
      </c>
      <c r="D18" s="3">
        <f t="shared" ca="1" si="0"/>
        <v>46074</v>
      </c>
      <c r="E18" s="16" t="s">
        <v>399</v>
      </c>
      <c r="G18" s="2" t="s">
        <v>129</v>
      </c>
      <c r="H18" s="2" t="s">
        <v>357</v>
      </c>
      <c r="I18" s="2" t="s">
        <v>423</v>
      </c>
      <c r="J18" s="2">
        <v>2</v>
      </c>
    </row>
    <row r="19" spans="1:10" x14ac:dyDescent="0.25">
      <c r="A19" s="2" t="s">
        <v>27</v>
      </c>
      <c r="B19" s="3">
        <v>45160</v>
      </c>
      <c r="D19" s="3">
        <f t="shared" ca="1" si="0"/>
        <v>46074</v>
      </c>
      <c r="E19" s="16" t="s">
        <v>399</v>
      </c>
      <c r="G19" s="2" t="s">
        <v>130</v>
      </c>
      <c r="H19" s="2" t="s">
        <v>358</v>
      </c>
      <c r="I19" s="2" t="s">
        <v>424</v>
      </c>
      <c r="J19" s="2">
        <v>2</v>
      </c>
    </row>
    <row r="20" spans="1:10" x14ac:dyDescent="0.25">
      <c r="A20" s="2" t="s">
        <v>28</v>
      </c>
      <c r="B20" s="3">
        <v>45199</v>
      </c>
      <c r="D20" s="3">
        <f t="shared" ca="1" si="0"/>
        <v>46074</v>
      </c>
      <c r="E20" s="16" t="s">
        <v>399</v>
      </c>
      <c r="G20" s="2" t="s">
        <v>131</v>
      </c>
      <c r="H20" s="2" t="s">
        <v>360</v>
      </c>
      <c r="I20" s="2" t="s">
        <v>425</v>
      </c>
      <c r="J20" s="2">
        <v>5</v>
      </c>
    </row>
    <row r="21" spans="1:10" x14ac:dyDescent="0.25">
      <c r="A21" s="2" t="s">
        <v>29</v>
      </c>
      <c r="B21" s="3">
        <v>45209</v>
      </c>
      <c r="D21" s="3">
        <f t="shared" ca="1" si="0"/>
        <v>46074</v>
      </c>
      <c r="E21" s="16" t="s">
        <v>399</v>
      </c>
      <c r="G21" s="2" t="s">
        <v>132</v>
      </c>
      <c r="H21" s="2" t="s">
        <v>355</v>
      </c>
      <c r="I21" s="19" t="s">
        <v>427</v>
      </c>
      <c r="J21" s="2">
        <f>SUM(J12:J20)</f>
        <v>30</v>
      </c>
    </row>
    <row r="22" spans="1:10" x14ac:dyDescent="0.25">
      <c r="A22" s="2" t="s">
        <v>30</v>
      </c>
      <c r="B22" s="3">
        <v>45235</v>
      </c>
      <c r="D22" s="3">
        <f t="shared" ca="1" si="0"/>
        <v>46074</v>
      </c>
      <c r="E22" s="16" t="s">
        <v>399</v>
      </c>
      <c r="G22" s="2" t="s">
        <v>133</v>
      </c>
      <c r="H22" s="2" t="s">
        <v>353</v>
      </c>
    </row>
    <row r="23" spans="1:10" x14ac:dyDescent="0.25">
      <c r="A23" s="2" t="s">
        <v>31</v>
      </c>
      <c r="B23" s="3">
        <v>45278</v>
      </c>
      <c r="D23" s="3">
        <f t="shared" ca="1" si="0"/>
        <v>46074</v>
      </c>
      <c r="E23" s="16" t="s">
        <v>399</v>
      </c>
      <c r="G23" s="2" t="s">
        <v>134</v>
      </c>
      <c r="H23" s="2" t="s">
        <v>351</v>
      </c>
      <c r="I23" s="19" t="s">
        <v>426</v>
      </c>
      <c r="J23" s="2">
        <v>31</v>
      </c>
    </row>
    <row r="24" spans="1:10" x14ac:dyDescent="0.25">
      <c r="A24" s="2" t="s">
        <v>32</v>
      </c>
      <c r="B24" s="3">
        <v>45301</v>
      </c>
      <c r="D24" s="3">
        <f t="shared" ca="1" si="0"/>
        <v>46074</v>
      </c>
      <c r="E24" s="16" t="s">
        <v>399</v>
      </c>
      <c r="G24" s="2" t="s">
        <v>135</v>
      </c>
      <c r="H24" s="2" t="s">
        <v>355</v>
      </c>
    </row>
    <row r="25" spans="1:10" x14ac:dyDescent="0.25">
      <c r="A25" s="2" t="s">
        <v>33</v>
      </c>
      <c r="B25" s="3">
        <v>45336</v>
      </c>
      <c r="D25" s="3">
        <f t="shared" ca="1" si="0"/>
        <v>46074</v>
      </c>
      <c r="E25" s="16" t="s">
        <v>399</v>
      </c>
      <c r="G25" s="2" t="s">
        <v>136</v>
      </c>
      <c r="H25" s="2" t="s">
        <v>354</v>
      </c>
    </row>
    <row r="26" spans="1:10" x14ac:dyDescent="0.25">
      <c r="A26" s="2" t="s">
        <v>34</v>
      </c>
      <c r="B26" s="3">
        <v>45371</v>
      </c>
      <c r="D26" s="3">
        <f t="shared" ca="1" si="0"/>
        <v>46074</v>
      </c>
      <c r="E26" s="16" t="s">
        <v>400</v>
      </c>
      <c r="G26" s="2" t="s">
        <v>137</v>
      </c>
      <c r="H26" s="2" t="s">
        <v>355</v>
      </c>
    </row>
    <row r="27" spans="1:10" x14ac:dyDescent="0.25">
      <c r="A27" s="2" t="s">
        <v>35</v>
      </c>
      <c r="B27" s="3">
        <v>45383</v>
      </c>
      <c r="D27" s="3">
        <f t="shared" ca="1" si="0"/>
        <v>46074</v>
      </c>
      <c r="E27" s="16" t="s">
        <v>400</v>
      </c>
      <c r="G27" s="2" t="s">
        <v>138</v>
      </c>
      <c r="H27" s="2" t="s">
        <v>356</v>
      </c>
    </row>
    <row r="28" spans="1:10" x14ac:dyDescent="0.25">
      <c r="A28" s="2" t="s">
        <v>36</v>
      </c>
      <c r="B28" s="3">
        <v>45427</v>
      </c>
      <c r="D28" s="3">
        <f t="shared" ca="1" si="0"/>
        <v>46074</v>
      </c>
      <c r="E28" s="16" t="s">
        <v>400</v>
      </c>
      <c r="G28" s="2" t="s">
        <v>139</v>
      </c>
      <c r="H28" s="2" t="s">
        <v>353</v>
      </c>
    </row>
    <row r="29" spans="1:10" x14ac:dyDescent="0.25">
      <c r="A29" s="2" t="s">
        <v>37</v>
      </c>
      <c r="B29" s="3">
        <v>45473</v>
      </c>
      <c r="D29" s="3">
        <f t="shared" ca="1" si="0"/>
        <v>46074</v>
      </c>
      <c r="E29" s="16" t="s">
        <v>400</v>
      </c>
      <c r="G29" s="2" t="s">
        <v>140</v>
      </c>
      <c r="H29" s="2" t="s">
        <v>358</v>
      </c>
    </row>
    <row r="30" spans="1:10" x14ac:dyDescent="0.25">
      <c r="A30" s="2" t="s">
        <v>38</v>
      </c>
      <c r="B30" s="3">
        <v>45485</v>
      </c>
      <c r="D30" s="3">
        <f t="shared" ca="1" si="0"/>
        <v>46074</v>
      </c>
      <c r="E30" s="16" t="s">
        <v>400</v>
      </c>
      <c r="G30" s="2" t="s">
        <v>141</v>
      </c>
      <c r="H30" s="2" t="s">
        <v>351</v>
      </c>
    </row>
    <row r="31" spans="1:10" x14ac:dyDescent="0.25">
      <c r="A31" s="2" t="s">
        <v>39</v>
      </c>
      <c r="B31" s="3">
        <v>45526</v>
      </c>
      <c r="D31" s="3">
        <f t="shared" ca="1" si="0"/>
        <v>46074</v>
      </c>
      <c r="E31" s="16" t="s">
        <v>400</v>
      </c>
      <c r="G31" s="2" t="s">
        <v>142</v>
      </c>
      <c r="H31" s="2" t="s">
        <v>360</v>
      </c>
    </row>
    <row r="32" spans="1:10" x14ac:dyDescent="0.25">
      <c r="A32" s="2" t="s">
        <v>40</v>
      </c>
      <c r="B32" s="3">
        <v>45545</v>
      </c>
      <c r="D32" s="3">
        <f t="shared" ca="1" si="0"/>
        <v>46074</v>
      </c>
      <c r="E32" s="16" t="s">
        <v>400</v>
      </c>
      <c r="G32" s="2" t="s">
        <v>143</v>
      </c>
      <c r="H32" s="2" t="s">
        <v>351</v>
      </c>
    </row>
    <row r="33" spans="1:8" x14ac:dyDescent="0.25">
      <c r="A33" s="2" t="s">
        <v>41</v>
      </c>
      <c r="B33" s="3">
        <v>45570</v>
      </c>
      <c r="D33" s="3">
        <f t="shared" ca="1" si="0"/>
        <v>46074</v>
      </c>
      <c r="E33" s="16" t="s">
        <v>400</v>
      </c>
      <c r="G33" s="2" t="s">
        <v>144</v>
      </c>
      <c r="H33" s="2" t="s">
        <v>352</v>
      </c>
    </row>
    <row r="34" spans="1:8" x14ac:dyDescent="0.25">
      <c r="A34" s="2" t="s">
        <v>42</v>
      </c>
      <c r="B34" s="3">
        <v>45614</v>
      </c>
      <c r="D34" s="3">
        <f t="shared" ca="1" si="0"/>
        <v>46074</v>
      </c>
      <c r="E34" s="16" t="s">
        <v>400</v>
      </c>
      <c r="G34" s="2" t="s">
        <v>145</v>
      </c>
      <c r="H34" s="2" t="s">
        <v>353</v>
      </c>
    </row>
    <row r="35" spans="1:8" x14ac:dyDescent="0.25">
      <c r="A35" s="2" t="s">
        <v>43</v>
      </c>
      <c r="B35" s="3">
        <v>45646</v>
      </c>
      <c r="D35" s="3">
        <f t="shared" ca="1" si="0"/>
        <v>46074</v>
      </c>
      <c r="E35" s="16" t="s">
        <v>400</v>
      </c>
      <c r="G35" s="2" t="s">
        <v>146</v>
      </c>
      <c r="H35" s="2" t="s">
        <v>354</v>
      </c>
    </row>
    <row r="36" spans="1:8" x14ac:dyDescent="0.25">
      <c r="A36" s="2" t="s">
        <v>44</v>
      </c>
      <c r="B36" s="3">
        <v>45665</v>
      </c>
      <c r="D36" s="3">
        <f t="shared" ca="1" si="0"/>
        <v>46074</v>
      </c>
      <c r="E36" s="16" t="s">
        <v>400</v>
      </c>
      <c r="G36" s="2" t="s">
        <v>147</v>
      </c>
      <c r="H36" s="2" t="s">
        <v>351</v>
      </c>
    </row>
    <row r="37" spans="1:8" x14ac:dyDescent="0.25">
      <c r="A37" s="2" t="s">
        <v>45</v>
      </c>
      <c r="B37" s="3">
        <v>45702</v>
      </c>
      <c r="D37" s="3">
        <f t="shared" ca="1" si="0"/>
        <v>46074</v>
      </c>
      <c r="E37" s="16" t="s">
        <v>400</v>
      </c>
      <c r="G37" s="2" t="s">
        <v>126</v>
      </c>
      <c r="H37" s="2" t="s">
        <v>353</v>
      </c>
    </row>
    <row r="38" spans="1:8" x14ac:dyDescent="0.25">
      <c r="A38" s="2" t="s">
        <v>46</v>
      </c>
      <c r="B38" s="3">
        <v>45737</v>
      </c>
      <c r="D38" s="3">
        <f t="shared" ca="1" si="0"/>
        <v>46074</v>
      </c>
      <c r="E38" s="16" t="s">
        <v>403</v>
      </c>
      <c r="G38" s="2" t="s">
        <v>148</v>
      </c>
      <c r="H38" s="2" t="s">
        <v>354</v>
      </c>
    </row>
    <row r="39" spans="1:8" x14ac:dyDescent="0.25">
      <c r="A39" s="2" t="s">
        <v>47</v>
      </c>
      <c r="B39" s="3">
        <v>45749</v>
      </c>
      <c r="D39" s="3">
        <f t="shared" ca="1" si="0"/>
        <v>46074</v>
      </c>
      <c r="E39" s="16" t="s">
        <v>402</v>
      </c>
      <c r="G39" s="2" t="s">
        <v>131</v>
      </c>
      <c r="H39" s="2" t="s">
        <v>354</v>
      </c>
    </row>
    <row r="40" spans="1:8" x14ac:dyDescent="0.25">
      <c r="A40" s="2" t="s">
        <v>48</v>
      </c>
      <c r="B40" s="3">
        <v>45792</v>
      </c>
      <c r="D40" s="3">
        <f t="shared" ca="1" si="0"/>
        <v>46074</v>
      </c>
      <c r="E40" s="16" t="s">
        <v>404</v>
      </c>
      <c r="G40" s="2" t="s">
        <v>149</v>
      </c>
      <c r="H40" s="2" t="s">
        <v>354</v>
      </c>
    </row>
    <row r="41" spans="1:8" x14ac:dyDescent="0.25">
      <c r="A41" s="2" t="s">
        <v>49</v>
      </c>
      <c r="B41" s="3">
        <v>45838</v>
      </c>
      <c r="D41" s="3">
        <f t="shared" ca="1" si="0"/>
        <v>46074</v>
      </c>
      <c r="E41" s="16" t="s">
        <v>405</v>
      </c>
      <c r="G41" s="2" t="s">
        <v>127</v>
      </c>
      <c r="H41" s="2" t="s">
        <v>354</v>
      </c>
    </row>
    <row r="42" spans="1:8" x14ac:dyDescent="0.25">
      <c r="A42" s="2" t="s">
        <v>50</v>
      </c>
      <c r="B42" s="3">
        <v>45848</v>
      </c>
      <c r="D42" s="3">
        <f t="shared" ca="1" si="0"/>
        <v>46074</v>
      </c>
      <c r="E42" s="16" t="s">
        <v>405</v>
      </c>
      <c r="G42" s="2" t="s">
        <v>150</v>
      </c>
      <c r="H42" s="2" t="s">
        <v>355</v>
      </c>
    </row>
    <row r="43" spans="1:8" x14ac:dyDescent="0.25">
      <c r="A43" s="2" t="s">
        <v>51</v>
      </c>
      <c r="B43" s="3">
        <v>45891</v>
      </c>
      <c r="D43" s="3">
        <f t="shared" ca="1" si="0"/>
        <v>46074</v>
      </c>
      <c r="E43" s="16" t="s">
        <v>406</v>
      </c>
      <c r="G43" s="18"/>
      <c r="H43" s="18"/>
    </row>
    <row r="44" spans="1:8" x14ac:dyDescent="0.25">
      <c r="A44" s="2" t="s">
        <v>52</v>
      </c>
      <c r="B44" s="3">
        <v>45905</v>
      </c>
      <c r="D44" s="3">
        <f t="shared" ca="1" si="0"/>
        <v>46074</v>
      </c>
      <c r="E44" s="16" t="s">
        <v>407</v>
      </c>
      <c r="G44" s="34" t="s">
        <v>429</v>
      </c>
      <c r="H44" s="35" t="s">
        <v>430</v>
      </c>
    </row>
    <row r="45" spans="1:8" x14ac:dyDescent="0.25">
      <c r="A45" s="2" t="s">
        <v>53</v>
      </c>
      <c r="B45" s="3">
        <v>45948</v>
      </c>
      <c r="D45" s="3">
        <f t="shared" ca="1" si="0"/>
        <v>46074</v>
      </c>
      <c r="E45" s="16" t="s">
        <v>408</v>
      </c>
      <c r="G45" s="2" t="s">
        <v>417</v>
      </c>
      <c r="H45" s="4">
        <v>10900</v>
      </c>
    </row>
    <row r="46" spans="1:8" x14ac:dyDescent="0.25">
      <c r="A46" s="2" t="s">
        <v>54</v>
      </c>
      <c r="B46" s="3">
        <v>45986</v>
      </c>
      <c r="D46" s="3">
        <f t="shared" ca="1" si="0"/>
        <v>46074</v>
      </c>
      <c r="E46" s="16" t="s">
        <v>409</v>
      </c>
      <c r="G46" s="2" t="s">
        <v>418</v>
      </c>
      <c r="H46" s="4">
        <v>11300</v>
      </c>
    </row>
    <row r="47" spans="1:8" x14ac:dyDescent="0.25">
      <c r="A47" s="2" t="s">
        <v>55</v>
      </c>
      <c r="B47" s="3">
        <v>46001</v>
      </c>
      <c r="D47" s="3">
        <f t="shared" ca="1" si="0"/>
        <v>46074</v>
      </c>
      <c r="E47" s="16" t="s">
        <v>409</v>
      </c>
      <c r="G47" s="2" t="s">
        <v>419</v>
      </c>
      <c r="H47" s="4">
        <v>12900</v>
      </c>
    </row>
    <row r="48" spans="1:8" x14ac:dyDescent="0.25">
      <c r="A48" s="2" t="s">
        <v>56</v>
      </c>
      <c r="B48" s="3">
        <v>46030</v>
      </c>
      <c r="D48" s="3">
        <f t="shared" ca="1" si="0"/>
        <v>46074</v>
      </c>
      <c r="E48" s="16" t="s">
        <v>410</v>
      </c>
      <c r="G48" s="2" t="s">
        <v>420</v>
      </c>
      <c r="H48" s="4">
        <v>11600</v>
      </c>
    </row>
    <row r="49" spans="1:8" x14ac:dyDescent="0.25">
      <c r="A49" s="2" t="s">
        <v>57</v>
      </c>
      <c r="B49" s="3">
        <v>46068</v>
      </c>
      <c r="D49" s="3">
        <f t="shared" ca="1" si="0"/>
        <v>46074</v>
      </c>
      <c r="E49" s="16" t="s">
        <v>412</v>
      </c>
      <c r="G49" s="2" t="s">
        <v>421</v>
      </c>
      <c r="H49" s="4">
        <v>10000</v>
      </c>
    </row>
    <row r="50" spans="1:8" x14ac:dyDescent="0.25">
      <c r="A50" s="2" t="s">
        <v>58</v>
      </c>
      <c r="B50" s="3">
        <v>45736</v>
      </c>
      <c r="D50" s="3">
        <f t="shared" ca="1" si="0"/>
        <v>46074</v>
      </c>
      <c r="E50" s="16" t="s">
        <v>403</v>
      </c>
      <c r="G50" s="2" t="s">
        <v>422</v>
      </c>
      <c r="H50" s="4">
        <v>15600</v>
      </c>
    </row>
    <row r="51" spans="1:8" x14ac:dyDescent="0.25">
      <c r="A51" s="2" t="s">
        <v>59</v>
      </c>
      <c r="B51" s="3">
        <v>45748</v>
      </c>
      <c r="D51" s="3">
        <f t="shared" ca="1" si="0"/>
        <v>46074</v>
      </c>
      <c r="E51" s="16" t="s">
        <v>402</v>
      </c>
      <c r="G51" s="2" t="s">
        <v>423</v>
      </c>
      <c r="H51" s="4">
        <v>11100</v>
      </c>
    </row>
    <row r="52" spans="1:8" x14ac:dyDescent="0.25">
      <c r="A52" s="2" t="s">
        <v>60</v>
      </c>
      <c r="B52" s="3">
        <v>45789</v>
      </c>
      <c r="D52" s="3">
        <f t="shared" ca="1" si="0"/>
        <v>46074</v>
      </c>
      <c r="E52" s="16" t="s">
        <v>404</v>
      </c>
      <c r="G52" s="2" t="s">
        <v>424</v>
      </c>
      <c r="H52" s="4">
        <v>12500</v>
      </c>
    </row>
    <row r="53" spans="1:8" x14ac:dyDescent="0.25">
      <c r="A53" s="2" t="s">
        <v>61</v>
      </c>
      <c r="B53" s="3">
        <v>45830</v>
      </c>
      <c r="D53" s="3">
        <f t="shared" ca="1" si="0"/>
        <v>46074</v>
      </c>
      <c r="E53" s="16" t="s">
        <v>405</v>
      </c>
      <c r="G53" s="2" t="s">
        <v>425</v>
      </c>
      <c r="H53" s="4">
        <v>12600</v>
      </c>
    </row>
    <row r="54" spans="1:8" ht="15.75" x14ac:dyDescent="0.25">
      <c r="A54" s="2" t="s">
        <v>62</v>
      </c>
      <c r="B54" s="3">
        <v>45843</v>
      </c>
      <c r="D54" s="3">
        <f t="shared" ca="1" si="0"/>
        <v>46074</v>
      </c>
      <c r="E54" s="16" t="s">
        <v>405</v>
      </c>
      <c r="G54" s="36" t="s">
        <v>431</v>
      </c>
      <c r="H54" s="36"/>
    </row>
    <row r="55" spans="1:8" x14ac:dyDescent="0.25">
      <c r="A55" s="2" t="s">
        <v>63</v>
      </c>
      <c r="B55" s="3">
        <v>45887</v>
      </c>
      <c r="D55" s="3">
        <f t="shared" ca="1" si="0"/>
        <v>46074</v>
      </c>
      <c r="E55" s="16" t="s">
        <v>411</v>
      </c>
    </row>
    <row r="56" spans="1:8" x14ac:dyDescent="0.25">
      <c r="A56" s="2" t="s">
        <v>64</v>
      </c>
      <c r="B56" s="3">
        <v>45930</v>
      </c>
      <c r="D56" s="3">
        <f t="shared" ca="1" si="0"/>
        <v>46074</v>
      </c>
      <c r="E56" s="16" t="s">
        <v>408</v>
      </c>
    </row>
    <row r="57" spans="1:8" x14ac:dyDescent="0.25">
      <c r="A57" s="2" t="s">
        <v>65</v>
      </c>
      <c r="B57" s="3">
        <v>45940</v>
      </c>
      <c r="D57" s="3">
        <f t="shared" ca="1" si="0"/>
        <v>46074</v>
      </c>
      <c r="E57" s="16" t="s">
        <v>408</v>
      </c>
    </row>
    <row r="58" spans="1:8" x14ac:dyDescent="0.25">
      <c r="A58" s="2" t="s">
        <v>66</v>
      </c>
      <c r="B58" s="3">
        <v>45601</v>
      </c>
      <c r="D58" s="3">
        <f t="shared" ca="1" si="0"/>
        <v>46074</v>
      </c>
      <c r="E58" s="16" t="s">
        <v>400</v>
      </c>
    </row>
    <row r="59" spans="1:8" x14ac:dyDescent="0.25">
      <c r="A59" s="2" t="s">
        <v>67</v>
      </c>
      <c r="B59" s="3">
        <v>46009</v>
      </c>
      <c r="D59" s="3">
        <f t="shared" ca="1" si="0"/>
        <v>46074</v>
      </c>
      <c r="E59" s="16" t="s">
        <v>409</v>
      </c>
    </row>
    <row r="60" spans="1:8" x14ac:dyDescent="0.25">
      <c r="A60" s="2" t="s">
        <v>68</v>
      </c>
      <c r="B60" s="3">
        <v>45677</v>
      </c>
      <c r="D60" s="3">
        <f t="shared" ca="1" si="0"/>
        <v>46074</v>
      </c>
      <c r="E60" s="16" t="s">
        <v>400</v>
      </c>
    </row>
    <row r="61" spans="1:8" x14ac:dyDescent="0.25">
      <c r="A61" s="2" t="s">
        <v>69</v>
      </c>
      <c r="B61" s="3">
        <v>46068</v>
      </c>
      <c r="D61" s="3">
        <f t="shared" ca="1" si="0"/>
        <v>46074</v>
      </c>
      <c r="E61" s="16" t="s">
        <v>401</v>
      </c>
    </row>
    <row r="62" spans="1:8" x14ac:dyDescent="0.25">
      <c r="D62" s="15"/>
    </row>
  </sheetData>
  <mergeCells count="10">
    <mergeCell ref="G54:H54"/>
    <mergeCell ref="A10:E10"/>
    <mergeCell ref="G10:J10"/>
    <mergeCell ref="I11:J11"/>
    <mergeCell ref="A3:B3"/>
    <mergeCell ref="D3:E3"/>
    <mergeCell ref="G3:I3"/>
    <mergeCell ref="A6:B6"/>
    <mergeCell ref="D6:E6"/>
    <mergeCell ref="G6:I6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BASE_DADOS_RH</vt:lpstr>
      <vt:lpstr>ANALISE_RH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LucasOFC 17</dc:creator>
  <cp:lastModifiedBy>LucasOFC 17</cp:lastModifiedBy>
  <cp:lastPrinted>2026-02-21T20:26:38Z</cp:lastPrinted>
  <dcterms:created xsi:type="dcterms:W3CDTF">2026-02-21T02:22:34Z</dcterms:created>
  <dcterms:modified xsi:type="dcterms:W3CDTF">2026-02-21T21:26:08Z</dcterms:modified>
</cp:coreProperties>
</file>